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Расходы" sheetId="3" state="visible" r:id="rId3"/>
    <sheet xmlns:r="http://schemas.openxmlformats.org/officeDocument/2006/relationships" name="Прогноз_мин" sheetId="4" state="visible" r:id="rId4"/>
    <sheet xmlns:r="http://schemas.openxmlformats.org/officeDocument/2006/relationships" name="Прогноз_реал" sheetId="5" state="visible" r:id="rId5"/>
    <sheet xmlns:r="http://schemas.openxmlformats.org/officeDocument/2006/relationships" name="Безубыточност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22574A"/>
      </patternFill>
    </fill>
    <fill>
      <patternFill patternType="solid">
        <fgColor rgb="00E4EB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4" fontId="6" fillId="0" borderId="0" pivotButton="0" quotePrefix="0" xfId="0"/>
    <xf numFmtId="0" fontId="7" fillId="3" borderId="0" pivotButton="0" quotePrefix="0" xfId="0"/>
    <xf numFmtId="1" fontId="8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6" fontId="5" fillId="4" borderId="0" pivotButton="0" quotePrefix="0" xfId="0"/>
    <xf numFmtId="165" fontId="5" fillId="0" borderId="0" pivotButton="0" quotePrefix="0" xfId="0"/>
    <xf numFmtId="1" fontId="5" fillId="4" borderId="0" pivotButton="0" quotePrefix="0" xfId="0"/>
    <xf numFmtId="164" fontId="5" fillId="0" borderId="0" pivotButton="0" quotePrefix="0" xfId="0"/>
    <xf numFmtId="164" fontId="4" fillId="3" borderId="0" pivotButton="0" quotePrefix="0" xfId="0"/>
    <xf numFmtId="1" fontId="5" fillId="0" borderId="0" pivotButton="0" quotePrefix="0" xfId="0"/>
    <xf numFmtId="1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B14" authorId="0" shapeId="0">
      <text>
        <t>Бета-версия: самый дешёвый VPS в РФ. По рейтингам 2026 года тарифы стартуют примерно от 180–260 ₽/мес (Cloud4box, Aeza, Beget ≈210 ₽). Закладываю 300 ₽. Если для PostgreSQL, pgvector и Airflow не хватит памяти, понадобится сервер за 500–1 000 ₽. Цены из агрегаторов, проверить у провайдера.</t>
      </text>
    </comment>
    <comment ref="B15" authorId="0" shapeId="0">
      <text>
        <t>ИИ-разбор на бета-версии идёт на бесплатных токенах GigaChat (Freemium: по документации Сбера 365 млн токенов, физлицо, один поток). Условия для новых клиентов после 01.09.2026 проверить при регистрации. Когда токены закончатся, расход берёт на себя «переменная» строка (60 ₽ на пользователя) на листе «Допущения».</t>
      </text>
    </comment>
    <comment ref="B16" authorId="0" shapeId="0">
      <text>
        <t>Рассылки: платный тариф «Лайт» UniSender ≈770 ₽/мес (цена из стороннего каталога, не с официального сайта). Бесплатный тариф («Фри»: 1 500 писем на 100 контактов) покрывает бета-тест 30–50 компаний, тогда строка может быть 0.</t>
      </text>
    </comment>
    <comment ref="B17" authorId="0" shapeId="0">
      <text>
        <t>Бета-версия: юрист-эксперт без оплаты (помогает университет или команда).</t>
      </text>
    </comment>
    <comment ref="B21" authorId="0" shapeId="0">
      <text>
        <t>Бета-версия: бухгалтерия силами команды, расход не закладывается.</t>
      </text>
    </comment>
    <comment ref="B22" authorId="0" shapeId="0">
      <text>
        <t>Бета-версия: без рекламы, пилотные компании привлекаются через университет и партнёров.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24" customWidth="1" min="2" max="2"/>
    <col width="24" customWidth="1" min="3" max="3"/>
  </cols>
  <sheetData>
    <row r="1">
      <c r="A1" s="1" t="inlineStr">
        <is>
          <t>LawTracker — окупаемость (без затрат на разработку)</t>
        </is>
      </c>
    </row>
    <row r="2">
      <c r="A2" s="2" t="inlineStr">
        <is>
          <t>Ориентировочная модель. Меняйте синие ячейки на листах «Допущения» и «Расходы»: всё остальное пересчитывается.</t>
        </is>
      </c>
    </row>
    <row r="4">
      <c r="A4" s="3" t="inlineStr">
        <is>
          <t>Показатель</t>
        </is>
      </c>
      <c r="B4" s="4" t="inlineStr">
        <is>
          <t>Минимальный сценарий</t>
        </is>
      </c>
      <c r="C4" s="4" t="inlineStr">
        <is>
          <t>Реалистичный сценарий</t>
        </is>
      </c>
    </row>
    <row r="5">
      <c r="A5" s="2" t="inlineStr">
        <is>
          <t>Разовые расходы на запуск, ₽</t>
        </is>
      </c>
      <c r="B5" s="5">
        <f>Расходы!B11</f>
        <v/>
      </c>
      <c r="C5" s="5">
        <f>Расходы!C11</f>
        <v/>
      </c>
    </row>
    <row r="6">
      <c r="A6" s="2" t="inlineStr">
        <is>
          <t>Постоянные расходы в месяц, ₽</t>
        </is>
      </c>
      <c r="B6" s="5">
        <f>Расходы!B24</f>
        <v/>
      </c>
      <c r="C6" s="5">
        <f>Расходы!C24</f>
        <v/>
      </c>
    </row>
    <row r="7">
      <c r="A7" s="2" t="inlineStr">
        <is>
          <t>Безубыточность: платных клиентов (смесь тарифов)</t>
        </is>
      </c>
      <c r="B7" s="5">
        <f>Безубыточность!D7</f>
        <v/>
      </c>
      <c r="C7" s="5">
        <f>Безубыточность!E7</f>
        <v/>
      </c>
    </row>
    <row r="8">
      <c r="A8" s="2" t="inlineStr">
        <is>
          <t>Платных клиентов через 12 месяцев</t>
        </is>
      </c>
      <c r="B8" s="5">
        <f>Прогноз_мин!D16</f>
        <v/>
      </c>
      <c r="C8" s="5">
        <f>Прогноз_реал!D16</f>
        <v/>
      </c>
    </row>
    <row r="9">
      <c r="A9" s="2" t="inlineStr">
        <is>
          <t>Платных клиентов через 24 месяца</t>
        </is>
      </c>
      <c r="B9" s="5">
        <f>Прогноз_мин!D28</f>
        <v/>
      </c>
      <c r="C9" s="5">
        <f>Прогноз_реал!D28</f>
        <v/>
      </c>
    </row>
    <row r="10">
      <c r="A10" s="2" t="inlineStr">
        <is>
          <t>Выручка за 24 месяца, ₽</t>
        </is>
      </c>
      <c r="B10" s="5">
        <f>Прогноз_мин!F30</f>
        <v/>
      </c>
      <c r="C10" s="5">
        <f>Прогноз_реал!F30</f>
        <v/>
      </c>
    </row>
    <row r="11">
      <c r="A11" s="2" t="inlineStr">
        <is>
          <t>Прибыль за 24 месяца до учёта разовых расходов, ₽</t>
        </is>
      </c>
      <c r="B11" s="5">
        <f>Прогноз_мин!J30</f>
        <v/>
      </c>
      <c r="C11" s="5">
        <f>Прогноз_реал!J30</f>
        <v/>
      </c>
    </row>
    <row r="12">
      <c r="A12" s="2" t="inlineStr">
        <is>
          <t>Накопленный денежный поток через 12 месяцев, ₽</t>
        </is>
      </c>
      <c r="B12" s="5">
        <f>Прогноз_мин!K16</f>
        <v/>
      </c>
      <c r="C12" s="5">
        <f>Прогноз_реал!K16</f>
        <v/>
      </c>
    </row>
    <row r="13">
      <c r="A13" s="2" t="inlineStr">
        <is>
          <t>Накопленный денежный поток через 24 месяца, ₽</t>
        </is>
      </c>
      <c r="B13" s="5">
        <f>Прогноз_мин!K28</f>
        <v/>
      </c>
      <c r="C13" s="5">
        <f>Прогноз_реал!K28</f>
        <v/>
      </c>
    </row>
    <row r="14">
      <c r="A14" s="2" t="inlineStr">
        <is>
          <t>Максимальный «провал» накопленного потока (нужное финансирование), ₽</t>
        </is>
      </c>
      <c r="B14" s="5">
        <f>-MIN(Прогноз_мин!K5:K28)</f>
        <v/>
      </c>
      <c r="C14" s="5">
        <f>-MIN(Прогноз_реал!K5:K28)</f>
        <v/>
      </c>
    </row>
    <row r="15">
      <c r="A15" s="6" t="inlineStr">
        <is>
          <t>Первый месяц с прибылью за месяц</t>
        </is>
      </c>
      <c r="B15" s="7">
        <f>IF(COUNT(Прогноз_мин!M5:M28)=0,"нет за 24 мес.",MIN(Прогноз_мин!M5:M28))</f>
        <v/>
      </c>
      <c r="C15" s="7">
        <f>IF(COUNT(Прогноз_реал!M5:M28)=0,"нет за 24 мес.",MIN(Прогноз_реал!M5:M28))</f>
        <v/>
      </c>
    </row>
    <row r="16">
      <c r="A16" s="6" t="inlineStr">
        <is>
          <t>Месяц окупаемости (накопленный итог ≥ 0)</t>
        </is>
      </c>
      <c r="B16" s="7">
        <f>IF(COUNT(Прогноз_мин!L5:L28)=0,"нет за 24 мес.",MIN(Прогноз_мин!L5:L28))</f>
        <v/>
      </c>
      <c r="C16" s="7">
        <f>IF(COUNT(Прогноз_реал!L5:L28)=0,"нет за 24 мес.",MIN(Прогноз_реал!L5:L28))</f>
        <v/>
      </c>
    </row>
    <row r="18">
      <c r="A18" s="8" t="inlineStr">
        <is>
          <t>Как читать</t>
        </is>
      </c>
    </row>
    <row r="19" ht="30" customHeight="1">
      <c r="A19" s="9" t="inlineStr">
        <is>
          <t>• Месяцы 1–3 — разработка, пилот и тестирование без выручки (по плану презентации), продажи начинаются с месяца из листа «Допущения».</t>
        </is>
      </c>
    </row>
    <row r="20" ht="30" customHeight="1">
      <c r="A20" s="9" t="inlineStr">
        <is>
          <t>• Накопленный денежный поток учитывает разовые расходы в 1-м месяце. Разработка сайта и серверов под нагрузку не включены.</t>
        </is>
      </c>
    </row>
    <row r="21" ht="30" customHeight="1">
      <c r="A21" s="9" t="inlineStr">
        <is>
          <t>• Цены тарифов предварительные и не утверждены; корпоративный тариф («по запросу») в выручку не включён.</t>
        </is>
      </c>
    </row>
    <row r="22" ht="30" customHeight="1">
      <c r="A22" s="9" t="inlineStr">
        <is>
          <t>• Проверяйте допущения: особенно приток клиентов, отток, цену и стоимость ИИ на клиента — они сильнее всего влияют на результат.</t>
        </is>
      </c>
    </row>
  </sheetData>
  <mergeCells count="4">
    <mergeCell ref="A20:C20"/>
    <mergeCell ref="A19:C19"/>
    <mergeCell ref="A21:C21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70" customWidth="1" min="3" max="3"/>
  </cols>
  <sheetData>
    <row r="1">
      <c r="A1" s="1" t="inlineStr">
        <is>
          <t>LawTracker — допущения модели окупаемости</t>
        </is>
      </c>
    </row>
    <row r="2" ht="42" customHeight="1">
      <c r="A2" s="9" t="inlineStr">
        <is>
          <t>Синий шрифт — входные данные (можно менять). Жёлтая заливка — ключевые допущения. Все суммы в рублях. Значения — мои оценки для планирования, а не данные рынка или утверждённые тарифы.</t>
        </is>
      </c>
    </row>
    <row r="4">
      <c r="A4" s="3" t="inlineStr">
        <is>
          <t>Параметр</t>
        </is>
      </c>
      <c r="B4" s="4" t="inlineStr">
        <is>
          <t>Значение</t>
        </is>
      </c>
      <c r="C4" s="4" t="inlineStr">
        <is>
          <t>Комментарий / источник</t>
        </is>
      </c>
    </row>
    <row r="5">
      <c r="A5" s="10" t="inlineStr">
        <is>
          <t>ВЫРУЧКА</t>
        </is>
      </c>
      <c r="B5" s="11" t="n"/>
      <c r="C5" s="11" t="n"/>
    </row>
    <row r="6">
      <c r="A6" s="2" t="inlineStr">
        <is>
          <t>Цена тарифа «Базовый», ₽/мес</t>
        </is>
      </c>
      <c r="B6" s="12" t="n">
        <v>690</v>
      </c>
      <c r="C6" s="9" t="inlineStr">
        <is>
          <t>Рекомендованная цена с сайта (раздел «Тарифы»); ориентир — конкурент от ~3 500 ₽/мес; не утверждена</t>
        </is>
      </c>
    </row>
    <row r="7">
      <c r="A7" s="2" t="inlineStr">
        <is>
          <t>Цена тарифа «Профессиональный», ₽/мес</t>
        </is>
      </c>
      <c r="B7" s="12" t="n">
        <v>1690</v>
      </c>
      <c r="C7" s="9" t="inlineStr">
        <is>
          <t>Рекомендованная цена с сайта; не утверждена</t>
        </is>
      </c>
    </row>
    <row r="8">
      <c r="A8" s="2" t="inlineStr">
        <is>
          <t>Доля платных клиентов на «Базовом»</t>
        </is>
      </c>
      <c r="B8" s="13" t="n">
        <v>0.6</v>
      </c>
      <c r="C8" s="9" t="inlineStr">
        <is>
          <t>Допущение: большинство — ИП и микробизнес</t>
        </is>
      </c>
    </row>
    <row r="9">
      <c r="A9" s="2" t="inlineStr">
        <is>
          <t>Доля платных клиентов на «Профессиональном»</t>
        </is>
      </c>
      <c r="B9" s="14">
        <f>1-B8</f>
        <v/>
      </c>
      <c r="C9" s="9" t="inlineStr">
        <is>
          <t>Считается: 100 % минус доля «Базового»</t>
        </is>
      </c>
    </row>
    <row r="10">
      <c r="A10" s="2" t="inlineStr">
        <is>
          <t>Средний чек (ARPU), ₽/мес на платного клиента</t>
        </is>
      </c>
      <c r="B10" s="15">
        <f>B6*B8+B7*B9</f>
        <v/>
      </c>
      <c r="C10" s="9" t="inlineStr">
        <is>
          <t>Считается. Корпоративный тариф («по запросу») не учтён</t>
        </is>
      </c>
    </row>
    <row r="11">
      <c r="A11" s="2" t="inlineStr">
        <is>
          <t>Бесплатных пользователей на 1 платного</t>
        </is>
      </c>
      <c r="B11" s="16" t="n">
        <v>3</v>
      </c>
      <c r="C11" s="9" t="inlineStr">
        <is>
          <t>Допущение: бесплатный старт создаёт нагрузку (ИИ, хостинг)</t>
        </is>
      </c>
    </row>
    <row r="12">
      <c r="A12" s="2" t="inlineStr">
        <is>
          <t>Комиссия эквайринга, % от выручки</t>
        </is>
      </c>
      <c r="B12" s="17" t="n">
        <v>0.03</v>
      </c>
      <c r="C12" s="9" t="inlineStr">
        <is>
          <t>Допущение: 2–3,5 % обычно</t>
        </is>
      </c>
    </row>
    <row r="13">
      <c r="A13" s="2" t="inlineStr">
        <is>
          <t>Налог (УСН «доходы»), % от выручки</t>
        </is>
      </c>
      <c r="B13" s="17" t="n">
        <v>0.06</v>
      </c>
      <c r="C13" s="9" t="inlineStr">
        <is>
          <t>Допущение: УСН 6 %; возможны льготы, уточнить у бухгалтера</t>
        </is>
      </c>
    </row>
    <row r="14">
      <c r="A14" s="2" t="inlineStr">
        <is>
          <t>Отток платных клиентов, % в месяц</t>
        </is>
      </c>
      <c r="B14" s="13" t="n">
        <v>0.04</v>
      </c>
      <c r="C14" s="9" t="inlineStr">
        <is>
          <t>Допущение</t>
        </is>
      </c>
    </row>
    <row r="15">
      <c r="A15" s="10" t="inlineStr">
        <is>
          <t>РОСТ ПРОДАЖ</t>
        </is>
      </c>
      <c r="B15" s="11" t="n"/>
      <c r="C15" s="11" t="n"/>
    </row>
    <row r="16">
      <c r="A16" s="2" t="inlineStr">
        <is>
          <t>Месяц начала продаж</t>
        </is>
      </c>
      <c r="B16" s="18" t="n">
        <v>4</v>
      </c>
      <c r="C16" s="9" t="inlineStr">
        <is>
          <t>По плану презентации: 3 месяца — исследование, прототип, тест; продажи с 4-го</t>
        </is>
      </c>
    </row>
    <row r="17">
      <c r="A17" s="2" t="inlineStr">
        <is>
          <t>Новых платных клиентов в первый месяц продаж</t>
        </is>
      </c>
      <c r="B17" s="18" t="n">
        <v>10</v>
      </c>
      <c r="C17" s="9" t="inlineStr">
        <is>
          <t>Допущение (пилоты, партнёры-бухгалтеры)</t>
        </is>
      </c>
    </row>
    <row r="18">
      <c r="A18" s="2" t="inlineStr">
        <is>
          <t>Рост притока новых клиентов, % в месяц</t>
        </is>
      </c>
      <c r="B18" s="13" t="n">
        <v>0.1</v>
      </c>
      <c r="C18" s="9" t="inlineStr">
        <is>
          <t>Допущение</t>
        </is>
      </c>
    </row>
    <row r="19">
      <c r="A19" s="2" t="inlineStr">
        <is>
          <t>Потолок притока новых клиентов, чел. в месяц</t>
        </is>
      </c>
      <c r="B19" s="18" t="n">
        <v>100</v>
      </c>
      <c r="C19" s="9" t="inlineStr">
        <is>
          <t>Допущение: ограничение маркетингового бюджета</t>
        </is>
      </c>
    </row>
    <row r="20">
      <c r="A20" s="10" t="inlineStr">
        <is>
          <t>ПЕРЕМЕННЫЕ РАСХОДЫ</t>
        </is>
      </c>
      <c r="B20" s="11" t="n"/>
      <c r="C20" s="11" t="n"/>
    </row>
    <row r="21">
      <c r="A21" s="2" t="inlineStr">
        <is>
          <t>ИИ и хостинг на 1 пользователя (платного и бесплатного), ₽/мес</t>
        </is>
      </c>
      <c r="B21" s="12" t="n">
        <v>60</v>
      </c>
      <c r="C21" s="9" t="inlineStr">
        <is>
          <t>Допущение; уточнить по итогам пилота</t>
        </is>
      </c>
    </row>
    <row r="22">
      <c r="A22" s="2" t="inlineStr">
        <is>
          <t>Страховые взносы с зарплат, %</t>
        </is>
      </c>
      <c r="B22" s="17" t="n">
        <v>0.3</v>
      </c>
      <c r="C22" s="9" t="inlineStr">
        <is>
          <t>Допущение: ~30 %; для IT-компаний возможны льготы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Расходы без разработки, ₽</t>
        </is>
      </c>
    </row>
    <row r="2" ht="40" customHeight="1">
      <c r="A2" s="9" t="inlineStr">
        <is>
          <t>Две колонки сценариев: «Минимальный» — бета-версия: ежемесячно только хостинг и рассылки, ИИ на бесплатных токенах GigaChat, основатели без зарплат, юрист и бухгалтер без оплаты; «Реалистичный» — небольшая команда без разработчиков (не менялся). «Облагается взносами» = 1, если это зарплата штатного сотрудника. Пояснения к ячейкам минимального сценария — в комментариях.</t>
        </is>
      </c>
    </row>
    <row r="4">
      <c r="A4" s="3" t="inlineStr">
        <is>
          <t>РАЗОВЫЕ РАСХОДЫ НА ЗАПУСК</t>
        </is>
      </c>
      <c r="B4" s="4" t="inlineStr">
        <is>
          <t>Минимальный</t>
        </is>
      </c>
      <c r="C4" s="4" t="inlineStr">
        <is>
          <t>Реалистичный</t>
        </is>
      </c>
      <c r="D4" s="4" t="inlineStr">
        <is>
          <t>Комментарий</t>
        </is>
      </c>
    </row>
    <row r="5">
      <c r="A5" s="2" t="inlineStr">
        <is>
          <t>Регистрация юрлица или ИП, банк, бухгалтерский старт</t>
        </is>
      </c>
      <c r="B5" s="19" t="n">
        <v>10000</v>
      </c>
      <c r="C5" s="19" t="n">
        <v>20000</v>
      </c>
    </row>
    <row r="6">
      <c r="A6" s="2" t="inlineStr">
        <is>
          <t>Юридические документы (политика, соглашение, согласие на обработку данных)</t>
        </is>
      </c>
      <c r="B6" s="19" t="n">
        <v>40000</v>
      </c>
      <c r="C6" s="19" t="n">
        <v>100000</v>
      </c>
    </row>
    <row r="7">
      <c r="A7" s="2" t="inlineStr">
        <is>
          <t>Товарный знак (пошлины и патентный поверенный)</t>
        </is>
      </c>
      <c r="B7" s="19" t="n">
        <v>30000</v>
      </c>
      <c r="C7" s="19" t="n">
        <v>60000</v>
      </c>
    </row>
    <row r="8">
      <c r="A8" s="2" t="inlineStr">
        <is>
          <t>Брендинг (логотип, фирменный стиль)</t>
        </is>
      </c>
      <c r="B8" s="19" t="n">
        <v>10000</v>
      </c>
      <c r="C8" s="19" t="n">
        <v>60000</v>
      </c>
    </row>
    <row r="9">
      <c r="A9" s="2" t="inlineStr">
        <is>
          <t>Проверка безопасности (пентест) перед продажами</t>
        </is>
      </c>
      <c r="B9" s="19" t="n">
        <v>0</v>
      </c>
      <c r="C9" s="19" t="n">
        <v>100000</v>
      </c>
    </row>
    <row r="10">
      <c r="A10" s="2" t="inlineStr">
        <is>
          <t>Домен, сертификаты, прочее</t>
        </is>
      </c>
      <c r="B10" s="19" t="n">
        <v>10000</v>
      </c>
      <c r="C10" s="19" t="n">
        <v>10000</v>
      </c>
    </row>
    <row r="11">
      <c r="A11" s="10" t="inlineStr">
        <is>
          <t>Итого разовые</t>
        </is>
      </c>
      <c r="B11" s="20">
        <f>SUM(B5:B10)</f>
        <v/>
      </c>
      <c r="C11" s="20">
        <f>SUM(C5:C10)</f>
        <v/>
      </c>
    </row>
    <row r="13">
      <c r="A13" s="3" t="inlineStr">
        <is>
          <t>ЕЖЕМЕСЯЧНЫЕ РАСХОДЫ</t>
        </is>
      </c>
      <c r="B13" s="4" t="inlineStr">
        <is>
          <t>Минимальный</t>
        </is>
      </c>
      <c r="C13" s="4" t="inlineStr">
        <is>
          <t>Реалистичный</t>
        </is>
      </c>
      <c r="D13" s="4" t="inlineStr">
        <is>
          <t>Облагается взносами (мин.)</t>
        </is>
      </c>
      <c r="E13" s="4" t="inlineStr">
        <is>
          <t>Облагается взносами (реал.)</t>
        </is>
      </c>
    </row>
    <row r="14">
      <c r="A14" s="2" t="inlineStr">
        <is>
          <t>Хостинг и облако в РФ</t>
        </is>
      </c>
      <c r="B14" s="19" t="n">
        <v>300</v>
      </c>
      <c r="C14" s="19" t="n">
        <v>30000</v>
      </c>
      <c r="D14" s="21" t="n">
        <v>0</v>
      </c>
      <c r="E14" s="21" t="n">
        <v>0</v>
      </c>
    </row>
    <row r="15">
      <c r="A15" s="2" t="inlineStr">
        <is>
          <t>ИИ-анализ изменений (базовая часть)</t>
        </is>
      </c>
      <c r="B15" s="19" t="n">
        <v>0</v>
      </c>
      <c r="C15" s="19" t="n">
        <v>40000</v>
      </c>
      <c r="D15" s="21" t="n">
        <v>0</v>
      </c>
      <c r="E15" s="21" t="n">
        <v>0</v>
      </c>
    </row>
    <row r="16">
      <c r="A16" s="2" t="inlineStr">
        <is>
          <t>Сервисы: рассылки, почта, аналитика, CRM, поддержка</t>
        </is>
      </c>
      <c r="B16" s="19" t="n">
        <v>770</v>
      </c>
      <c r="C16" s="19" t="n">
        <v>15000</v>
      </c>
      <c r="D16" s="21" t="n">
        <v>0</v>
      </c>
      <c r="E16" s="21" t="n">
        <v>0</v>
      </c>
    </row>
    <row r="17">
      <c r="A17" s="2" t="inlineStr">
        <is>
          <t>Юрист-эксперт</t>
        </is>
      </c>
      <c r="B17" s="19" t="n">
        <v>0</v>
      </c>
      <c r="C17" s="19" t="n">
        <v>90000</v>
      </c>
      <c r="D17" s="21" t="n">
        <v>0</v>
      </c>
      <c r="E17" s="21" t="n">
        <v>1</v>
      </c>
    </row>
    <row r="18">
      <c r="A18" s="2" t="inlineStr">
        <is>
          <t>Маркетолог и контент</t>
        </is>
      </c>
      <c r="B18" s="19" t="n">
        <v>0</v>
      </c>
      <c r="C18" s="19" t="n">
        <v>70000</v>
      </c>
      <c r="D18" s="21" t="n">
        <v>0</v>
      </c>
      <c r="E18" s="21" t="n">
        <v>1</v>
      </c>
    </row>
    <row r="19">
      <c r="A19" s="2" t="inlineStr">
        <is>
          <t>Основатель или продукт-менеджер</t>
        </is>
      </c>
      <c r="B19" s="19" t="n">
        <v>0</v>
      </c>
      <c r="C19" s="19" t="n">
        <v>120000</v>
      </c>
      <c r="D19" s="21" t="n">
        <v>0</v>
      </c>
      <c r="E19" s="21" t="n">
        <v>1</v>
      </c>
    </row>
    <row r="20">
      <c r="A20" s="2" t="inlineStr">
        <is>
          <t>Поддержка клиентов</t>
        </is>
      </c>
      <c r="B20" s="19" t="n">
        <v>0</v>
      </c>
      <c r="C20" s="19" t="n">
        <v>30000</v>
      </c>
      <c r="D20" s="21" t="n">
        <v>0</v>
      </c>
      <c r="E20" s="21" t="n">
        <v>1</v>
      </c>
    </row>
    <row r="21">
      <c r="A21" s="2" t="inlineStr">
        <is>
          <t>Бухгалтер на аутсорсе</t>
        </is>
      </c>
      <c r="B21" s="19" t="n">
        <v>0</v>
      </c>
      <c r="C21" s="19" t="n">
        <v>10000</v>
      </c>
      <c r="D21" s="21" t="n">
        <v>0</v>
      </c>
      <c r="E21" s="21" t="n">
        <v>0</v>
      </c>
    </row>
    <row r="22">
      <c r="A22" s="2" t="inlineStr">
        <is>
          <t>Рекламный бюджет и партнёры</t>
        </is>
      </c>
      <c r="B22" s="19" t="n">
        <v>0</v>
      </c>
      <c r="C22" s="19" t="n">
        <v>100000</v>
      </c>
      <c r="D22" s="21" t="n">
        <v>0</v>
      </c>
      <c r="E22" s="21" t="n">
        <v>0</v>
      </c>
    </row>
    <row r="23">
      <c r="A23" s="2" t="inlineStr">
        <is>
          <t>Страховые взносы с зарплат</t>
        </is>
      </c>
      <c r="B23" s="5">
        <f>Допущения!$B$22*SUMPRODUCT(B14:B22,D14:D22)</f>
        <v/>
      </c>
      <c r="C23" s="5">
        <f>Допущения!$B$22*SUMPRODUCT(C14:C22,E14:E22)</f>
        <v/>
      </c>
    </row>
    <row r="24">
      <c r="A24" s="10" t="inlineStr">
        <is>
          <t>Итого постоянные расходы в месяц</t>
        </is>
      </c>
      <c r="B24" s="20">
        <f>SUM(B14:B23)</f>
        <v/>
      </c>
      <c r="C24" s="20">
        <f>SUM(C14:C23)</f>
        <v/>
      </c>
    </row>
  </sheetData>
  <mergeCells count="1">
    <mergeCell ref="A2:F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4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</cols>
  <sheetData>
    <row r="1">
      <c r="A1" s="1" t="inlineStr">
        <is>
          <t>Прогноз: минимальный сценарий</t>
        </is>
      </c>
    </row>
    <row r="2">
      <c r="A2" s="2" t="inlineStr">
        <is>
          <t>Помесячный прогноз на 24 месяца. Все параметры берутся из листов «Допущения» и «Расходы».</t>
        </is>
      </c>
    </row>
    <row r="4" ht="48" customHeight="1">
      <c r="A4" s="3" t="inlineStr">
        <is>
          <t>Месяц</t>
        </is>
      </c>
      <c r="B4" s="4" t="inlineStr">
        <is>
          <t>Новые платные клиенты</t>
        </is>
      </c>
      <c r="C4" s="4" t="inlineStr">
        <is>
          <t>Отток</t>
        </is>
      </c>
      <c r="D4" s="4" t="inlineStr">
        <is>
          <t>Платные клиенты (конец)</t>
        </is>
      </c>
      <c r="E4" s="4" t="inlineStr">
        <is>
          <t>Бесплатные пользователи</t>
        </is>
      </c>
      <c r="F4" s="4" t="inlineStr">
        <is>
          <t>Выручка, ₽</t>
        </is>
      </c>
      <c r="G4" s="4" t="inlineStr">
        <is>
          <t>Переменные расходы, ₽</t>
        </is>
      </c>
      <c r="H4" s="4" t="inlineStr">
        <is>
          <t>Постоянные расходы, ₽</t>
        </is>
      </c>
      <c r="I4" s="4" t="inlineStr">
        <is>
          <t>Эквайринг и налог, ₽</t>
        </is>
      </c>
      <c r="J4" s="4" t="inlineStr">
        <is>
          <t>Прибыль за месяц, ₽</t>
        </is>
      </c>
      <c r="K4" s="4" t="inlineStr">
        <is>
          <t>Накопленный денежный поток, ₽</t>
        </is>
      </c>
      <c r="L4" s="4" t="inlineStr">
        <is>
          <t>Вехи: накопленный итог ≥ 0</t>
        </is>
      </c>
      <c r="M4" s="4" t="inlineStr">
        <is>
          <t>Вехи: прибыль за месяц &gt; 0</t>
        </is>
      </c>
    </row>
    <row r="5">
      <c r="A5" s="22" t="n">
        <v>1</v>
      </c>
      <c r="B5" s="15">
        <f>IF(A5&lt;Допущения!$B$16,0,MIN(Допущения!$B$19,ROUND(Допущения!$B$17*(1+Допущения!$B$18)^(A5-Допущения!$B$16),0)))</f>
        <v/>
      </c>
      <c r="C5" s="15">
        <f>0</f>
        <v/>
      </c>
      <c r="D5" s="15">
        <f>B5-C5</f>
        <v/>
      </c>
      <c r="E5" s="15">
        <f>D5*Допущения!$B$11</f>
        <v/>
      </c>
      <c r="F5" s="15">
        <f>D5*Допущения!$B$10</f>
        <v/>
      </c>
      <c r="G5" s="15">
        <f>(D5+E5)*Допущения!$B$21</f>
        <v/>
      </c>
      <c r="H5" s="5">
        <f>Расходы!$B$24</f>
        <v/>
      </c>
      <c r="I5" s="15">
        <f>F5*(Допущения!$B$12+Допущения!$B$13)</f>
        <v/>
      </c>
      <c r="J5" s="15">
        <f>F5-G5-H5-I5</f>
        <v/>
      </c>
      <c r="K5" s="15">
        <f>-Расходы!$B$11+J5</f>
        <v/>
      </c>
      <c r="L5" s="22">
        <f>IF(K5&gt;=0,A5,"")</f>
        <v/>
      </c>
      <c r="M5" s="22">
        <f>IF(J5&gt;0,A5,"")</f>
        <v/>
      </c>
    </row>
    <row r="6">
      <c r="A6" s="22" t="n">
        <v>2</v>
      </c>
      <c r="B6" s="15">
        <f>IF(A6&lt;Допущения!$B$16,0,MIN(Допущения!$B$19,ROUND(Допущения!$B$17*(1+Допущения!$B$18)^(A6-Допущения!$B$16),0)))</f>
        <v/>
      </c>
      <c r="C6" s="15">
        <f>ROUND(D5*Допущения!$B$14,0)</f>
        <v/>
      </c>
      <c r="D6" s="15">
        <f>D5+B6-C6</f>
        <v/>
      </c>
      <c r="E6" s="15">
        <f>D6*Допущения!$B$11</f>
        <v/>
      </c>
      <c r="F6" s="15">
        <f>D6*Допущения!$B$10</f>
        <v/>
      </c>
      <c r="G6" s="15">
        <f>(D6+E6)*Допущения!$B$21</f>
        <v/>
      </c>
      <c r="H6" s="5">
        <f>Расходы!$B$24</f>
        <v/>
      </c>
      <c r="I6" s="15">
        <f>F6*(Допущения!$B$12+Допущения!$B$13)</f>
        <v/>
      </c>
      <c r="J6" s="15">
        <f>F6-G6-H6-I6</f>
        <v/>
      </c>
      <c r="K6" s="15">
        <f>K5+J6</f>
        <v/>
      </c>
      <c r="L6" s="22">
        <f>IF(K6&gt;=0,A6,"")</f>
        <v/>
      </c>
      <c r="M6" s="22">
        <f>IF(J6&gt;0,A6,"")</f>
        <v/>
      </c>
    </row>
    <row r="7">
      <c r="A7" s="22" t="n">
        <v>3</v>
      </c>
      <c r="B7" s="15">
        <f>IF(A7&lt;Допущения!$B$16,0,MIN(Допущения!$B$19,ROUND(Допущения!$B$17*(1+Допущения!$B$18)^(A7-Допущения!$B$16),0)))</f>
        <v/>
      </c>
      <c r="C7" s="15">
        <f>ROUND(D6*Допущения!$B$14,0)</f>
        <v/>
      </c>
      <c r="D7" s="15">
        <f>D6+B7-C7</f>
        <v/>
      </c>
      <c r="E7" s="15">
        <f>D7*Допущения!$B$11</f>
        <v/>
      </c>
      <c r="F7" s="15">
        <f>D7*Допущения!$B$10</f>
        <v/>
      </c>
      <c r="G7" s="15">
        <f>(D7+E7)*Допущения!$B$21</f>
        <v/>
      </c>
      <c r="H7" s="5">
        <f>Расходы!$B$24</f>
        <v/>
      </c>
      <c r="I7" s="15">
        <f>F7*(Допущения!$B$12+Допущения!$B$13)</f>
        <v/>
      </c>
      <c r="J7" s="15">
        <f>F7-G7-H7-I7</f>
        <v/>
      </c>
      <c r="K7" s="15">
        <f>K6+J7</f>
        <v/>
      </c>
      <c r="L7" s="22">
        <f>IF(K7&gt;=0,A7,"")</f>
        <v/>
      </c>
      <c r="M7" s="22">
        <f>IF(J7&gt;0,A7,"")</f>
        <v/>
      </c>
    </row>
    <row r="8">
      <c r="A8" s="22" t="n">
        <v>4</v>
      </c>
      <c r="B8" s="15">
        <f>IF(A8&lt;Допущения!$B$16,0,MIN(Допущения!$B$19,ROUND(Допущения!$B$17*(1+Допущения!$B$18)^(A8-Допущения!$B$16),0)))</f>
        <v/>
      </c>
      <c r="C8" s="15">
        <f>ROUND(D7*Допущения!$B$14,0)</f>
        <v/>
      </c>
      <c r="D8" s="15">
        <f>D7+B8-C8</f>
        <v/>
      </c>
      <c r="E8" s="15">
        <f>D8*Допущения!$B$11</f>
        <v/>
      </c>
      <c r="F8" s="15">
        <f>D8*Допущения!$B$10</f>
        <v/>
      </c>
      <c r="G8" s="15">
        <f>(D8+E8)*Допущения!$B$21</f>
        <v/>
      </c>
      <c r="H8" s="5">
        <f>Расходы!$B$24</f>
        <v/>
      </c>
      <c r="I8" s="15">
        <f>F8*(Допущения!$B$12+Допущения!$B$13)</f>
        <v/>
      </c>
      <c r="J8" s="15">
        <f>F8-G8-H8-I8</f>
        <v/>
      </c>
      <c r="K8" s="15">
        <f>K7+J8</f>
        <v/>
      </c>
      <c r="L8" s="22">
        <f>IF(K8&gt;=0,A8,"")</f>
        <v/>
      </c>
      <c r="M8" s="22">
        <f>IF(J8&gt;0,A8,"")</f>
        <v/>
      </c>
    </row>
    <row r="9">
      <c r="A9" s="22" t="n">
        <v>5</v>
      </c>
      <c r="B9" s="15">
        <f>IF(A9&lt;Допущения!$B$16,0,MIN(Допущения!$B$19,ROUND(Допущения!$B$17*(1+Допущения!$B$18)^(A9-Допущения!$B$16),0)))</f>
        <v/>
      </c>
      <c r="C9" s="15">
        <f>ROUND(D8*Допущения!$B$14,0)</f>
        <v/>
      </c>
      <c r="D9" s="15">
        <f>D8+B9-C9</f>
        <v/>
      </c>
      <c r="E9" s="15">
        <f>D9*Допущения!$B$11</f>
        <v/>
      </c>
      <c r="F9" s="15">
        <f>D9*Допущения!$B$10</f>
        <v/>
      </c>
      <c r="G9" s="15">
        <f>(D9+E9)*Допущения!$B$21</f>
        <v/>
      </c>
      <c r="H9" s="5">
        <f>Расходы!$B$24</f>
        <v/>
      </c>
      <c r="I9" s="15">
        <f>F9*(Допущения!$B$12+Допущения!$B$13)</f>
        <v/>
      </c>
      <c r="J9" s="15">
        <f>F9-G9-H9-I9</f>
        <v/>
      </c>
      <c r="K9" s="15">
        <f>K8+J9</f>
        <v/>
      </c>
      <c r="L9" s="22">
        <f>IF(K9&gt;=0,A9,"")</f>
        <v/>
      </c>
      <c r="M9" s="22">
        <f>IF(J9&gt;0,A9,"")</f>
        <v/>
      </c>
    </row>
    <row r="10">
      <c r="A10" s="22" t="n">
        <v>6</v>
      </c>
      <c r="B10" s="15">
        <f>IF(A10&lt;Допущения!$B$16,0,MIN(Допущения!$B$19,ROUND(Допущения!$B$17*(1+Допущения!$B$18)^(A10-Допущения!$B$16),0)))</f>
        <v/>
      </c>
      <c r="C10" s="15">
        <f>ROUND(D9*Допущения!$B$14,0)</f>
        <v/>
      </c>
      <c r="D10" s="15">
        <f>D9+B10-C10</f>
        <v/>
      </c>
      <c r="E10" s="15">
        <f>D10*Допущения!$B$11</f>
        <v/>
      </c>
      <c r="F10" s="15">
        <f>D10*Допущения!$B$10</f>
        <v/>
      </c>
      <c r="G10" s="15">
        <f>(D10+E10)*Допущения!$B$21</f>
        <v/>
      </c>
      <c r="H10" s="5">
        <f>Расходы!$B$24</f>
        <v/>
      </c>
      <c r="I10" s="15">
        <f>F10*(Допущения!$B$12+Допущения!$B$13)</f>
        <v/>
      </c>
      <c r="J10" s="15">
        <f>F10-G10-H10-I10</f>
        <v/>
      </c>
      <c r="K10" s="15">
        <f>K9+J10</f>
        <v/>
      </c>
      <c r="L10" s="22">
        <f>IF(K10&gt;=0,A10,"")</f>
        <v/>
      </c>
      <c r="M10" s="22">
        <f>IF(J10&gt;0,A10,"")</f>
        <v/>
      </c>
    </row>
    <row r="11">
      <c r="A11" s="22" t="n">
        <v>7</v>
      </c>
      <c r="B11" s="15">
        <f>IF(A11&lt;Допущения!$B$16,0,MIN(Допущения!$B$19,ROUND(Допущения!$B$17*(1+Допущения!$B$18)^(A11-Допущения!$B$16),0)))</f>
        <v/>
      </c>
      <c r="C11" s="15">
        <f>ROUND(D10*Допущения!$B$14,0)</f>
        <v/>
      </c>
      <c r="D11" s="15">
        <f>D10+B11-C11</f>
        <v/>
      </c>
      <c r="E11" s="15">
        <f>D11*Допущения!$B$11</f>
        <v/>
      </c>
      <c r="F11" s="15">
        <f>D11*Допущения!$B$10</f>
        <v/>
      </c>
      <c r="G11" s="15">
        <f>(D11+E11)*Допущения!$B$21</f>
        <v/>
      </c>
      <c r="H11" s="5">
        <f>Расходы!$B$24</f>
        <v/>
      </c>
      <c r="I11" s="15">
        <f>F11*(Допущения!$B$12+Допущения!$B$13)</f>
        <v/>
      </c>
      <c r="J11" s="15">
        <f>F11-G11-H11-I11</f>
        <v/>
      </c>
      <c r="K11" s="15">
        <f>K10+J11</f>
        <v/>
      </c>
      <c r="L11" s="22">
        <f>IF(K11&gt;=0,A11,"")</f>
        <v/>
      </c>
      <c r="M11" s="22">
        <f>IF(J11&gt;0,A11,"")</f>
        <v/>
      </c>
    </row>
    <row r="12">
      <c r="A12" s="22" t="n">
        <v>8</v>
      </c>
      <c r="B12" s="15">
        <f>IF(A12&lt;Допущения!$B$16,0,MIN(Допущения!$B$19,ROUND(Допущения!$B$17*(1+Допущения!$B$18)^(A12-Допущения!$B$16),0)))</f>
        <v/>
      </c>
      <c r="C12" s="15">
        <f>ROUND(D11*Допущения!$B$14,0)</f>
        <v/>
      </c>
      <c r="D12" s="15">
        <f>D11+B12-C12</f>
        <v/>
      </c>
      <c r="E12" s="15">
        <f>D12*Допущения!$B$11</f>
        <v/>
      </c>
      <c r="F12" s="15">
        <f>D12*Допущения!$B$10</f>
        <v/>
      </c>
      <c r="G12" s="15">
        <f>(D12+E12)*Допущения!$B$21</f>
        <v/>
      </c>
      <c r="H12" s="5">
        <f>Расходы!$B$24</f>
        <v/>
      </c>
      <c r="I12" s="15">
        <f>F12*(Допущения!$B$12+Допущения!$B$13)</f>
        <v/>
      </c>
      <c r="J12" s="15">
        <f>F12-G12-H12-I12</f>
        <v/>
      </c>
      <c r="K12" s="15">
        <f>K11+J12</f>
        <v/>
      </c>
      <c r="L12" s="22">
        <f>IF(K12&gt;=0,A12,"")</f>
        <v/>
      </c>
      <c r="M12" s="22">
        <f>IF(J12&gt;0,A12,"")</f>
        <v/>
      </c>
    </row>
    <row r="13">
      <c r="A13" s="22" t="n">
        <v>9</v>
      </c>
      <c r="B13" s="15">
        <f>IF(A13&lt;Допущения!$B$16,0,MIN(Допущения!$B$19,ROUND(Допущения!$B$17*(1+Допущения!$B$18)^(A13-Допущения!$B$16),0)))</f>
        <v/>
      </c>
      <c r="C13" s="15">
        <f>ROUND(D12*Допущения!$B$14,0)</f>
        <v/>
      </c>
      <c r="D13" s="15">
        <f>D12+B13-C13</f>
        <v/>
      </c>
      <c r="E13" s="15">
        <f>D13*Допущения!$B$11</f>
        <v/>
      </c>
      <c r="F13" s="15">
        <f>D13*Допущения!$B$10</f>
        <v/>
      </c>
      <c r="G13" s="15">
        <f>(D13+E13)*Допущения!$B$21</f>
        <v/>
      </c>
      <c r="H13" s="5">
        <f>Расходы!$B$24</f>
        <v/>
      </c>
      <c r="I13" s="15">
        <f>F13*(Допущения!$B$12+Допущения!$B$13)</f>
        <v/>
      </c>
      <c r="J13" s="15">
        <f>F13-G13-H13-I13</f>
        <v/>
      </c>
      <c r="K13" s="15">
        <f>K12+J13</f>
        <v/>
      </c>
      <c r="L13" s="22">
        <f>IF(K13&gt;=0,A13,"")</f>
        <v/>
      </c>
      <c r="M13" s="22">
        <f>IF(J13&gt;0,A13,"")</f>
        <v/>
      </c>
    </row>
    <row r="14">
      <c r="A14" s="22" t="n">
        <v>10</v>
      </c>
      <c r="B14" s="15">
        <f>IF(A14&lt;Допущения!$B$16,0,MIN(Допущения!$B$19,ROUND(Допущения!$B$17*(1+Допущения!$B$18)^(A14-Допущения!$B$16),0)))</f>
        <v/>
      </c>
      <c r="C14" s="15">
        <f>ROUND(D13*Допущения!$B$14,0)</f>
        <v/>
      </c>
      <c r="D14" s="15">
        <f>D13+B14-C14</f>
        <v/>
      </c>
      <c r="E14" s="15">
        <f>D14*Допущения!$B$11</f>
        <v/>
      </c>
      <c r="F14" s="15">
        <f>D14*Допущения!$B$10</f>
        <v/>
      </c>
      <c r="G14" s="15">
        <f>(D14+E14)*Допущения!$B$21</f>
        <v/>
      </c>
      <c r="H14" s="5">
        <f>Расходы!$B$24</f>
        <v/>
      </c>
      <c r="I14" s="15">
        <f>F14*(Допущения!$B$12+Допущения!$B$13)</f>
        <v/>
      </c>
      <c r="J14" s="15">
        <f>F14-G14-H14-I14</f>
        <v/>
      </c>
      <c r="K14" s="15">
        <f>K13+J14</f>
        <v/>
      </c>
      <c r="L14" s="22">
        <f>IF(K14&gt;=0,A14,"")</f>
        <v/>
      </c>
      <c r="M14" s="22">
        <f>IF(J14&gt;0,A14,"")</f>
        <v/>
      </c>
    </row>
    <row r="15">
      <c r="A15" s="22" t="n">
        <v>11</v>
      </c>
      <c r="B15" s="15">
        <f>IF(A15&lt;Допущения!$B$16,0,MIN(Допущения!$B$19,ROUND(Допущения!$B$17*(1+Допущения!$B$18)^(A15-Допущения!$B$16),0)))</f>
        <v/>
      </c>
      <c r="C15" s="15">
        <f>ROUND(D14*Допущения!$B$14,0)</f>
        <v/>
      </c>
      <c r="D15" s="15">
        <f>D14+B15-C15</f>
        <v/>
      </c>
      <c r="E15" s="15">
        <f>D15*Допущения!$B$11</f>
        <v/>
      </c>
      <c r="F15" s="15">
        <f>D15*Допущения!$B$10</f>
        <v/>
      </c>
      <c r="G15" s="15">
        <f>(D15+E15)*Допущения!$B$21</f>
        <v/>
      </c>
      <c r="H15" s="5">
        <f>Расходы!$B$24</f>
        <v/>
      </c>
      <c r="I15" s="15">
        <f>F15*(Допущения!$B$12+Допущения!$B$13)</f>
        <v/>
      </c>
      <c r="J15" s="15">
        <f>F15-G15-H15-I15</f>
        <v/>
      </c>
      <c r="K15" s="15">
        <f>K14+J15</f>
        <v/>
      </c>
      <c r="L15" s="22">
        <f>IF(K15&gt;=0,A15,"")</f>
        <v/>
      </c>
      <c r="M15" s="22">
        <f>IF(J15&gt;0,A15,"")</f>
        <v/>
      </c>
    </row>
    <row r="16">
      <c r="A16" s="22" t="n">
        <v>12</v>
      </c>
      <c r="B16" s="15">
        <f>IF(A16&lt;Допущения!$B$16,0,MIN(Допущения!$B$19,ROUND(Допущения!$B$17*(1+Допущения!$B$18)^(A16-Допущения!$B$16),0)))</f>
        <v/>
      </c>
      <c r="C16" s="15">
        <f>ROUND(D15*Допущения!$B$14,0)</f>
        <v/>
      </c>
      <c r="D16" s="15">
        <f>D15+B16-C16</f>
        <v/>
      </c>
      <c r="E16" s="15">
        <f>D16*Допущения!$B$11</f>
        <v/>
      </c>
      <c r="F16" s="15">
        <f>D16*Допущения!$B$10</f>
        <v/>
      </c>
      <c r="G16" s="15">
        <f>(D16+E16)*Допущения!$B$21</f>
        <v/>
      </c>
      <c r="H16" s="5">
        <f>Расходы!$B$24</f>
        <v/>
      </c>
      <c r="I16" s="15">
        <f>F16*(Допущения!$B$12+Допущения!$B$13)</f>
        <v/>
      </c>
      <c r="J16" s="15">
        <f>F16-G16-H16-I16</f>
        <v/>
      </c>
      <c r="K16" s="15">
        <f>K15+J16</f>
        <v/>
      </c>
      <c r="L16" s="22">
        <f>IF(K16&gt;=0,A16,"")</f>
        <v/>
      </c>
      <c r="M16" s="22">
        <f>IF(J16&gt;0,A16,"")</f>
        <v/>
      </c>
    </row>
    <row r="17">
      <c r="A17" s="22" t="n">
        <v>13</v>
      </c>
      <c r="B17" s="15">
        <f>IF(A17&lt;Допущения!$B$16,0,MIN(Допущения!$B$19,ROUND(Допущения!$B$17*(1+Допущения!$B$18)^(A17-Допущения!$B$16),0)))</f>
        <v/>
      </c>
      <c r="C17" s="15">
        <f>ROUND(D16*Допущения!$B$14,0)</f>
        <v/>
      </c>
      <c r="D17" s="15">
        <f>D16+B17-C17</f>
        <v/>
      </c>
      <c r="E17" s="15">
        <f>D17*Допущения!$B$11</f>
        <v/>
      </c>
      <c r="F17" s="15">
        <f>D17*Допущения!$B$10</f>
        <v/>
      </c>
      <c r="G17" s="15">
        <f>(D17+E17)*Допущения!$B$21</f>
        <v/>
      </c>
      <c r="H17" s="5">
        <f>Расходы!$B$24</f>
        <v/>
      </c>
      <c r="I17" s="15">
        <f>F17*(Допущения!$B$12+Допущения!$B$13)</f>
        <v/>
      </c>
      <c r="J17" s="15">
        <f>F17-G17-H17-I17</f>
        <v/>
      </c>
      <c r="K17" s="15">
        <f>K16+J17</f>
        <v/>
      </c>
      <c r="L17" s="22">
        <f>IF(K17&gt;=0,A17,"")</f>
        <v/>
      </c>
      <c r="M17" s="22">
        <f>IF(J17&gt;0,A17,"")</f>
        <v/>
      </c>
    </row>
    <row r="18">
      <c r="A18" s="22" t="n">
        <v>14</v>
      </c>
      <c r="B18" s="15">
        <f>IF(A18&lt;Допущения!$B$16,0,MIN(Допущения!$B$19,ROUND(Допущения!$B$17*(1+Допущения!$B$18)^(A18-Допущения!$B$16),0)))</f>
        <v/>
      </c>
      <c r="C18" s="15">
        <f>ROUND(D17*Допущения!$B$14,0)</f>
        <v/>
      </c>
      <c r="D18" s="15">
        <f>D17+B18-C18</f>
        <v/>
      </c>
      <c r="E18" s="15">
        <f>D18*Допущения!$B$11</f>
        <v/>
      </c>
      <c r="F18" s="15">
        <f>D18*Допущения!$B$10</f>
        <v/>
      </c>
      <c r="G18" s="15">
        <f>(D18+E18)*Допущения!$B$21</f>
        <v/>
      </c>
      <c r="H18" s="5">
        <f>Расходы!$B$24</f>
        <v/>
      </c>
      <c r="I18" s="15">
        <f>F18*(Допущения!$B$12+Допущения!$B$13)</f>
        <v/>
      </c>
      <c r="J18" s="15">
        <f>F18-G18-H18-I18</f>
        <v/>
      </c>
      <c r="K18" s="15">
        <f>K17+J18</f>
        <v/>
      </c>
      <c r="L18" s="22">
        <f>IF(K18&gt;=0,A18,"")</f>
        <v/>
      </c>
      <c r="M18" s="22">
        <f>IF(J18&gt;0,A18,"")</f>
        <v/>
      </c>
    </row>
    <row r="19">
      <c r="A19" s="22" t="n">
        <v>15</v>
      </c>
      <c r="B19" s="15">
        <f>IF(A19&lt;Допущения!$B$16,0,MIN(Допущения!$B$19,ROUND(Допущения!$B$17*(1+Допущения!$B$18)^(A19-Допущения!$B$16),0)))</f>
        <v/>
      </c>
      <c r="C19" s="15">
        <f>ROUND(D18*Допущения!$B$14,0)</f>
        <v/>
      </c>
      <c r="D19" s="15">
        <f>D18+B19-C19</f>
        <v/>
      </c>
      <c r="E19" s="15">
        <f>D19*Допущения!$B$11</f>
        <v/>
      </c>
      <c r="F19" s="15">
        <f>D19*Допущения!$B$10</f>
        <v/>
      </c>
      <c r="G19" s="15">
        <f>(D19+E19)*Допущения!$B$21</f>
        <v/>
      </c>
      <c r="H19" s="5">
        <f>Расходы!$B$24</f>
        <v/>
      </c>
      <c r="I19" s="15">
        <f>F19*(Допущения!$B$12+Допущения!$B$13)</f>
        <v/>
      </c>
      <c r="J19" s="15">
        <f>F19-G19-H19-I19</f>
        <v/>
      </c>
      <c r="K19" s="15">
        <f>K18+J19</f>
        <v/>
      </c>
      <c r="L19" s="22">
        <f>IF(K19&gt;=0,A19,"")</f>
        <v/>
      </c>
      <c r="M19" s="22">
        <f>IF(J19&gt;0,A19,"")</f>
        <v/>
      </c>
    </row>
    <row r="20">
      <c r="A20" s="22" t="n">
        <v>16</v>
      </c>
      <c r="B20" s="15">
        <f>IF(A20&lt;Допущения!$B$16,0,MIN(Допущения!$B$19,ROUND(Допущения!$B$17*(1+Допущения!$B$18)^(A20-Допущения!$B$16),0)))</f>
        <v/>
      </c>
      <c r="C20" s="15">
        <f>ROUND(D19*Допущения!$B$14,0)</f>
        <v/>
      </c>
      <c r="D20" s="15">
        <f>D19+B20-C20</f>
        <v/>
      </c>
      <c r="E20" s="15">
        <f>D20*Допущения!$B$11</f>
        <v/>
      </c>
      <c r="F20" s="15">
        <f>D20*Допущения!$B$10</f>
        <v/>
      </c>
      <c r="G20" s="15">
        <f>(D20+E20)*Допущения!$B$21</f>
        <v/>
      </c>
      <c r="H20" s="5">
        <f>Расходы!$B$24</f>
        <v/>
      </c>
      <c r="I20" s="15">
        <f>F20*(Допущения!$B$12+Допущения!$B$13)</f>
        <v/>
      </c>
      <c r="J20" s="15">
        <f>F20-G20-H20-I20</f>
        <v/>
      </c>
      <c r="K20" s="15">
        <f>K19+J20</f>
        <v/>
      </c>
      <c r="L20" s="22">
        <f>IF(K20&gt;=0,A20,"")</f>
        <v/>
      </c>
      <c r="M20" s="22">
        <f>IF(J20&gt;0,A20,"")</f>
        <v/>
      </c>
    </row>
    <row r="21">
      <c r="A21" s="22" t="n">
        <v>17</v>
      </c>
      <c r="B21" s="15">
        <f>IF(A21&lt;Допущения!$B$16,0,MIN(Допущения!$B$19,ROUND(Допущения!$B$17*(1+Допущения!$B$18)^(A21-Допущения!$B$16),0)))</f>
        <v/>
      </c>
      <c r="C21" s="15">
        <f>ROUND(D20*Допущения!$B$14,0)</f>
        <v/>
      </c>
      <c r="D21" s="15">
        <f>D20+B21-C21</f>
        <v/>
      </c>
      <c r="E21" s="15">
        <f>D21*Допущения!$B$11</f>
        <v/>
      </c>
      <c r="F21" s="15">
        <f>D21*Допущения!$B$10</f>
        <v/>
      </c>
      <c r="G21" s="15">
        <f>(D21+E21)*Допущения!$B$21</f>
        <v/>
      </c>
      <c r="H21" s="5">
        <f>Расходы!$B$24</f>
        <v/>
      </c>
      <c r="I21" s="15">
        <f>F21*(Допущения!$B$12+Допущения!$B$13)</f>
        <v/>
      </c>
      <c r="J21" s="15">
        <f>F21-G21-H21-I21</f>
        <v/>
      </c>
      <c r="K21" s="15">
        <f>K20+J21</f>
        <v/>
      </c>
      <c r="L21" s="22">
        <f>IF(K21&gt;=0,A21,"")</f>
        <v/>
      </c>
      <c r="M21" s="22">
        <f>IF(J21&gt;0,A21,"")</f>
        <v/>
      </c>
    </row>
    <row r="22">
      <c r="A22" s="22" t="n">
        <v>18</v>
      </c>
      <c r="B22" s="15">
        <f>IF(A22&lt;Допущения!$B$16,0,MIN(Допущения!$B$19,ROUND(Допущения!$B$17*(1+Допущения!$B$18)^(A22-Допущения!$B$16),0)))</f>
        <v/>
      </c>
      <c r="C22" s="15">
        <f>ROUND(D21*Допущения!$B$14,0)</f>
        <v/>
      </c>
      <c r="D22" s="15">
        <f>D21+B22-C22</f>
        <v/>
      </c>
      <c r="E22" s="15">
        <f>D22*Допущения!$B$11</f>
        <v/>
      </c>
      <c r="F22" s="15">
        <f>D22*Допущения!$B$10</f>
        <v/>
      </c>
      <c r="G22" s="15">
        <f>(D22+E22)*Допущения!$B$21</f>
        <v/>
      </c>
      <c r="H22" s="5">
        <f>Расходы!$B$24</f>
        <v/>
      </c>
      <c r="I22" s="15">
        <f>F22*(Допущения!$B$12+Допущения!$B$13)</f>
        <v/>
      </c>
      <c r="J22" s="15">
        <f>F22-G22-H22-I22</f>
        <v/>
      </c>
      <c r="K22" s="15">
        <f>K21+J22</f>
        <v/>
      </c>
      <c r="L22" s="22">
        <f>IF(K22&gt;=0,A22,"")</f>
        <v/>
      </c>
      <c r="M22" s="22">
        <f>IF(J22&gt;0,A22,"")</f>
        <v/>
      </c>
    </row>
    <row r="23">
      <c r="A23" s="22" t="n">
        <v>19</v>
      </c>
      <c r="B23" s="15">
        <f>IF(A23&lt;Допущения!$B$16,0,MIN(Допущения!$B$19,ROUND(Допущения!$B$17*(1+Допущения!$B$18)^(A23-Допущения!$B$16),0)))</f>
        <v/>
      </c>
      <c r="C23" s="15">
        <f>ROUND(D22*Допущения!$B$14,0)</f>
        <v/>
      </c>
      <c r="D23" s="15">
        <f>D22+B23-C23</f>
        <v/>
      </c>
      <c r="E23" s="15">
        <f>D23*Допущения!$B$11</f>
        <v/>
      </c>
      <c r="F23" s="15">
        <f>D23*Допущения!$B$10</f>
        <v/>
      </c>
      <c r="G23" s="15">
        <f>(D23+E23)*Допущения!$B$21</f>
        <v/>
      </c>
      <c r="H23" s="5">
        <f>Расходы!$B$24</f>
        <v/>
      </c>
      <c r="I23" s="15">
        <f>F23*(Допущения!$B$12+Допущения!$B$13)</f>
        <v/>
      </c>
      <c r="J23" s="15">
        <f>F23-G23-H23-I23</f>
        <v/>
      </c>
      <c r="K23" s="15">
        <f>K22+J23</f>
        <v/>
      </c>
      <c r="L23" s="22">
        <f>IF(K23&gt;=0,A23,"")</f>
        <v/>
      </c>
      <c r="M23" s="22">
        <f>IF(J23&gt;0,A23,"")</f>
        <v/>
      </c>
    </row>
    <row r="24">
      <c r="A24" s="22" t="n">
        <v>20</v>
      </c>
      <c r="B24" s="15">
        <f>IF(A24&lt;Допущения!$B$16,0,MIN(Допущения!$B$19,ROUND(Допущения!$B$17*(1+Допущения!$B$18)^(A24-Допущения!$B$16),0)))</f>
        <v/>
      </c>
      <c r="C24" s="15">
        <f>ROUND(D23*Допущения!$B$14,0)</f>
        <v/>
      </c>
      <c r="D24" s="15">
        <f>D23+B24-C24</f>
        <v/>
      </c>
      <c r="E24" s="15">
        <f>D24*Допущения!$B$11</f>
        <v/>
      </c>
      <c r="F24" s="15">
        <f>D24*Допущения!$B$10</f>
        <v/>
      </c>
      <c r="G24" s="15">
        <f>(D24+E24)*Допущения!$B$21</f>
        <v/>
      </c>
      <c r="H24" s="5">
        <f>Расходы!$B$24</f>
        <v/>
      </c>
      <c r="I24" s="15">
        <f>F24*(Допущения!$B$12+Допущения!$B$13)</f>
        <v/>
      </c>
      <c r="J24" s="15">
        <f>F24-G24-H24-I24</f>
        <v/>
      </c>
      <c r="K24" s="15">
        <f>K23+J24</f>
        <v/>
      </c>
      <c r="L24" s="22">
        <f>IF(K24&gt;=0,A24,"")</f>
        <v/>
      </c>
      <c r="M24" s="22">
        <f>IF(J24&gt;0,A24,"")</f>
        <v/>
      </c>
    </row>
    <row r="25">
      <c r="A25" s="22" t="n">
        <v>21</v>
      </c>
      <c r="B25" s="15">
        <f>IF(A25&lt;Допущения!$B$16,0,MIN(Допущения!$B$19,ROUND(Допущения!$B$17*(1+Допущения!$B$18)^(A25-Допущения!$B$16),0)))</f>
        <v/>
      </c>
      <c r="C25" s="15">
        <f>ROUND(D24*Допущения!$B$14,0)</f>
        <v/>
      </c>
      <c r="D25" s="15">
        <f>D24+B25-C25</f>
        <v/>
      </c>
      <c r="E25" s="15">
        <f>D25*Допущения!$B$11</f>
        <v/>
      </c>
      <c r="F25" s="15">
        <f>D25*Допущения!$B$10</f>
        <v/>
      </c>
      <c r="G25" s="15">
        <f>(D25+E25)*Допущения!$B$21</f>
        <v/>
      </c>
      <c r="H25" s="5">
        <f>Расходы!$B$24</f>
        <v/>
      </c>
      <c r="I25" s="15">
        <f>F25*(Допущения!$B$12+Допущения!$B$13)</f>
        <v/>
      </c>
      <c r="J25" s="15">
        <f>F25-G25-H25-I25</f>
        <v/>
      </c>
      <c r="K25" s="15">
        <f>K24+J25</f>
        <v/>
      </c>
      <c r="L25" s="22">
        <f>IF(K25&gt;=0,A25,"")</f>
        <v/>
      </c>
      <c r="M25" s="22">
        <f>IF(J25&gt;0,A25,"")</f>
        <v/>
      </c>
    </row>
    <row r="26">
      <c r="A26" s="22" t="n">
        <v>22</v>
      </c>
      <c r="B26" s="15">
        <f>IF(A26&lt;Допущения!$B$16,0,MIN(Допущения!$B$19,ROUND(Допущения!$B$17*(1+Допущения!$B$18)^(A26-Допущения!$B$16),0)))</f>
        <v/>
      </c>
      <c r="C26" s="15">
        <f>ROUND(D25*Допущения!$B$14,0)</f>
        <v/>
      </c>
      <c r="D26" s="15">
        <f>D25+B26-C26</f>
        <v/>
      </c>
      <c r="E26" s="15">
        <f>D26*Допущения!$B$11</f>
        <v/>
      </c>
      <c r="F26" s="15">
        <f>D26*Допущения!$B$10</f>
        <v/>
      </c>
      <c r="G26" s="15">
        <f>(D26+E26)*Допущения!$B$21</f>
        <v/>
      </c>
      <c r="H26" s="5">
        <f>Расходы!$B$24</f>
        <v/>
      </c>
      <c r="I26" s="15">
        <f>F26*(Допущения!$B$12+Допущения!$B$13)</f>
        <v/>
      </c>
      <c r="J26" s="15">
        <f>F26-G26-H26-I26</f>
        <v/>
      </c>
      <c r="K26" s="15">
        <f>K25+J26</f>
        <v/>
      </c>
      <c r="L26" s="22">
        <f>IF(K26&gt;=0,A26,"")</f>
        <v/>
      </c>
      <c r="M26" s="22">
        <f>IF(J26&gt;0,A26,"")</f>
        <v/>
      </c>
    </row>
    <row r="27">
      <c r="A27" s="22" t="n">
        <v>23</v>
      </c>
      <c r="B27" s="15">
        <f>IF(A27&lt;Допущения!$B$16,0,MIN(Допущения!$B$19,ROUND(Допущения!$B$17*(1+Допущения!$B$18)^(A27-Допущения!$B$16),0)))</f>
        <v/>
      </c>
      <c r="C27" s="15">
        <f>ROUND(D26*Допущения!$B$14,0)</f>
        <v/>
      </c>
      <c r="D27" s="15">
        <f>D26+B27-C27</f>
        <v/>
      </c>
      <c r="E27" s="15">
        <f>D27*Допущения!$B$11</f>
        <v/>
      </c>
      <c r="F27" s="15">
        <f>D27*Допущения!$B$10</f>
        <v/>
      </c>
      <c r="G27" s="15">
        <f>(D27+E27)*Допущения!$B$21</f>
        <v/>
      </c>
      <c r="H27" s="5">
        <f>Расходы!$B$24</f>
        <v/>
      </c>
      <c r="I27" s="15">
        <f>F27*(Допущения!$B$12+Допущения!$B$13)</f>
        <v/>
      </c>
      <c r="J27" s="15">
        <f>F27-G27-H27-I27</f>
        <v/>
      </c>
      <c r="K27" s="15">
        <f>K26+J27</f>
        <v/>
      </c>
      <c r="L27" s="22">
        <f>IF(K27&gt;=0,A27,"")</f>
        <v/>
      </c>
      <c r="M27" s="22">
        <f>IF(J27&gt;0,A27,"")</f>
        <v/>
      </c>
    </row>
    <row r="28">
      <c r="A28" s="22" t="n">
        <v>24</v>
      </c>
      <c r="B28" s="15">
        <f>IF(A28&lt;Допущения!$B$16,0,MIN(Допущения!$B$19,ROUND(Допущения!$B$17*(1+Допущения!$B$18)^(A28-Допущения!$B$16),0)))</f>
        <v/>
      </c>
      <c r="C28" s="15">
        <f>ROUND(D27*Допущения!$B$14,0)</f>
        <v/>
      </c>
      <c r="D28" s="15">
        <f>D27+B28-C28</f>
        <v/>
      </c>
      <c r="E28" s="15">
        <f>D28*Допущения!$B$11</f>
        <v/>
      </c>
      <c r="F28" s="15">
        <f>D28*Допущения!$B$10</f>
        <v/>
      </c>
      <c r="G28" s="15">
        <f>(D28+E28)*Допущения!$B$21</f>
        <v/>
      </c>
      <c r="H28" s="5">
        <f>Расходы!$B$24</f>
        <v/>
      </c>
      <c r="I28" s="15">
        <f>F28*(Допущения!$B$12+Допущения!$B$13)</f>
        <v/>
      </c>
      <c r="J28" s="15">
        <f>F28-G28-H28-I28</f>
        <v/>
      </c>
      <c r="K28" s="15">
        <f>K27+J28</f>
        <v/>
      </c>
      <c r="L28" s="22">
        <f>IF(K28&gt;=0,A28,"")</f>
        <v/>
      </c>
      <c r="M28" s="22">
        <f>IF(J28&gt;0,A28,"")</f>
        <v/>
      </c>
    </row>
    <row r="30">
      <c r="A30" s="8" t="inlineStr">
        <is>
          <t>Итого за 24 месяца</t>
        </is>
      </c>
      <c r="F30" s="23">
        <f>SUM(F5:F28)</f>
        <v/>
      </c>
      <c r="G30" s="23">
        <f>SUM(G5:G28)</f>
        <v/>
      </c>
      <c r="H30" s="23">
        <f>SUM(H5:H28)</f>
        <v/>
      </c>
      <c r="I30" s="23">
        <f>SUM(I5:I28)</f>
        <v/>
      </c>
      <c r="J30" s="23">
        <f>SUM(J5:J28)</f>
        <v/>
      </c>
    </row>
    <row r="31">
      <c r="A31" s="2" t="inlineStr">
        <is>
          <t>Разовые расходы на запуск (учтены в накопленном итоге с 1-го месяца)</t>
        </is>
      </c>
      <c r="J31" s="5">
        <f>Расходы!B11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4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</cols>
  <sheetData>
    <row r="1">
      <c r="A1" s="1" t="inlineStr">
        <is>
          <t>Прогноз: реалистичный сценарий</t>
        </is>
      </c>
    </row>
    <row r="2">
      <c r="A2" s="2" t="inlineStr">
        <is>
          <t>Помесячный прогноз на 24 месяца. Все параметры берутся из листов «Допущения» и «Расходы».</t>
        </is>
      </c>
    </row>
    <row r="4" ht="48" customHeight="1">
      <c r="A4" s="3" t="inlineStr">
        <is>
          <t>Месяц</t>
        </is>
      </c>
      <c r="B4" s="4" t="inlineStr">
        <is>
          <t>Новые платные клиенты</t>
        </is>
      </c>
      <c r="C4" s="4" t="inlineStr">
        <is>
          <t>Отток</t>
        </is>
      </c>
      <c r="D4" s="4" t="inlineStr">
        <is>
          <t>Платные клиенты (конец)</t>
        </is>
      </c>
      <c r="E4" s="4" t="inlineStr">
        <is>
          <t>Бесплатные пользователи</t>
        </is>
      </c>
      <c r="F4" s="4" t="inlineStr">
        <is>
          <t>Выручка, ₽</t>
        </is>
      </c>
      <c r="G4" s="4" t="inlineStr">
        <is>
          <t>Переменные расходы, ₽</t>
        </is>
      </c>
      <c r="H4" s="4" t="inlineStr">
        <is>
          <t>Постоянные расходы, ₽</t>
        </is>
      </c>
      <c r="I4" s="4" t="inlineStr">
        <is>
          <t>Эквайринг и налог, ₽</t>
        </is>
      </c>
      <c r="J4" s="4" t="inlineStr">
        <is>
          <t>Прибыль за месяц, ₽</t>
        </is>
      </c>
      <c r="K4" s="4" t="inlineStr">
        <is>
          <t>Накопленный денежный поток, ₽</t>
        </is>
      </c>
      <c r="L4" s="4" t="inlineStr">
        <is>
          <t>Вехи: накопленный итог ≥ 0</t>
        </is>
      </c>
      <c r="M4" s="4" t="inlineStr">
        <is>
          <t>Вехи: прибыль за месяц &gt; 0</t>
        </is>
      </c>
    </row>
    <row r="5">
      <c r="A5" s="22" t="n">
        <v>1</v>
      </c>
      <c r="B5" s="15">
        <f>IF(A5&lt;Допущения!$B$16,0,MIN(Допущения!$B$19,ROUND(Допущения!$B$17*(1+Допущения!$B$18)^(A5-Допущения!$B$16),0)))</f>
        <v/>
      </c>
      <c r="C5" s="15">
        <f>0</f>
        <v/>
      </c>
      <c r="D5" s="15">
        <f>B5-C5</f>
        <v/>
      </c>
      <c r="E5" s="15">
        <f>D5*Допущения!$B$11</f>
        <v/>
      </c>
      <c r="F5" s="15">
        <f>D5*Допущения!$B$10</f>
        <v/>
      </c>
      <c r="G5" s="15">
        <f>(D5+E5)*Допущения!$B$21</f>
        <v/>
      </c>
      <c r="H5" s="5">
        <f>Расходы!$C$24</f>
        <v/>
      </c>
      <c r="I5" s="15">
        <f>F5*(Допущения!$B$12+Допущения!$B$13)</f>
        <v/>
      </c>
      <c r="J5" s="15">
        <f>F5-G5-H5-I5</f>
        <v/>
      </c>
      <c r="K5" s="15">
        <f>-Расходы!$C$11+J5</f>
        <v/>
      </c>
      <c r="L5" s="22">
        <f>IF(K5&gt;=0,A5,"")</f>
        <v/>
      </c>
      <c r="M5" s="22">
        <f>IF(J5&gt;0,A5,"")</f>
        <v/>
      </c>
    </row>
    <row r="6">
      <c r="A6" s="22" t="n">
        <v>2</v>
      </c>
      <c r="B6" s="15">
        <f>IF(A6&lt;Допущения!$B$16,0,MIN(Допущения!$B$19,ROUND(Допущения!$B$17*(1+Допущения!$B$18)^(A6-Допущения!$B$16),0)))</f>
        <v/>
      </c>
      <c r="C6" s="15">
        <f>ROUND(D5*Допущения!$B$14,0)</f>
        <v/>
      </c>
      <c r="D6" s="15">
        <f>D5+B6-C6</f>
        <v/>
      </c>
      <c r="E6" s="15">
        <f>D6*Допущения!$B$11</f>
        <v/>
      </c>
      <c r="F6" s="15">
        <f>D6*Допущения!$B$10</f>
        <v/>
      </c>
      <c r="G6" s="15">
        <f>(D6+E6)*Допущения!$B$21</f>
        <v/>
      </c>
      <c r="H6" s="5">
        <f>Расходы!$C$24</f>
        <v/>
      </c>
      <c r="I6" s="15">
        <f>F6*(Допущения!$B$12+Допущения!$B$13)</f>
        <v/>
      </c>
      <c r="J6" s="15">
        <f>F6-G6-H6-I6</f>
        <v/>
      </c>
      <c r="K6" s="15">
        <f>K5+J6</f>
        <v/>
      </c>
      <c r="L6" s="22">
        <f>IF(K6&gt;=0,A6,"")</f>
        <v/>
      </c>
      <c r="M6" s="22">
        <f>IF(J6&gt;0,A6,"")</f>
        <v/>
      </c>
    </row>
    <row r="7">
      <c r="A7" s="22" t="n">
        <v>3</v>
      </c>
      <c r="B7" s="15">
        <f>IF(A7&lt;Допущения!$B$16,0,MIN(Допущения!$B$19,ROUND(Допущения!$B$17*(1+Допущения!$B$18)^(A7-Допущения!$B$16),0)))</f>
        <v/>
      </c>
      <c r="C7" s="15">
        <f>ROUND(D6*Допущения!$B$14,0)</f>
        <v/>
      </c>
      <c r="D7" s="15">
        <f>D6+B7-C7</f>
        <v/>
      </c>
      <c r="E7" s="15">
        <f>D7*Допущения!$B$11</f>
        <v/>
      </c>
      <c r="F7" s="15">
        <f>D7*Допущения!$B$10</f>
        <v/>
      </c>
      <c r="G7" s="15">
        <f>(D7+E7)*Допущения!$B$21</f>
        <v/>
      </c>
      <c r="H7" s="5">
        <f>Расходы!$C$24</f>
        <v/>
      </c>
      <c r="I7" s="15">
        <f>F7*(Допущения!$B$12+Допущения!$B$13)</f>
        <v/>
      </c>
      <c r="J7" s="15">
        <f>F7-G7-H7-I7</f>
        <v/>
      </c>
      <c r="K7" s="15">
        <f>K6+J7</f>
        <v/>
      </c>
      <c r="L7" s="22">
        <f>IF(K7&gt;=0,A7,"")</f>
        <v/>
      </c>
      <c r="M7" s="22">
        <f>IF(J7&gt;0,A7,"")</f>
        <v/>
      </c>
    </row>
    <row r="8">
      <c r="A8" s="22" t="n">
        <v>4</v>
      </c>
      <c r="B8" s="15">
        <f>IF(A8&lt;Допущения!$B$16,0,MIN(Допущения!$B$19,ROUND(Допущения!$B$17*(1+Допущения!$B$18)^(A8-Допущения!$B$16),0)))</f>
        <v/>
      </c>
      <c r="C8" s="15">
        <f>ROUND(D7*Допущения!$B$14,0)</f>
        <v/>
      </c>
      <c r="D8" s="15">
        <f>D7+B8-C8</f>
        <v/>
      </c>
      <c r="E8" s="15">
        <f>D8*Допущения!$B$11</f>
        <v/>
      </c>
      <c r="F8" s="15">
        <f>D8*Допущения!$B$10</f>
        <v/>
      </c>
      <c r="G8" s="15">
        <f>(D8+E8)*Допущения!$B$21</f>
        <v/>
      </c>
      <c r="H8" s="5">
        <f>Расходы!$C$24</f>
        <v/>
      </c>
      <c r="I8" s="15">
        <f>F8*(Допущения!$B$12+Допущения!$B$13)</f>
        <v/>
      </c>
      <c r="J8" s="15">
        <f>F8-G8-H8-I8</f>
        <v/>
      </c>
      <c r="K8" s="15">
        <f>K7+J8</f>
        <v/>
      </c>
      <c r="L8" s="22">
        <f>IF(K8&gt;=0,A8,"")</f>
        <v/>
      </c>
      <c r="M8" s="22">
        <f>IF(J8&gt;0,A8,"")</f>
        <v/>
      </c>
    </row>
    <row r="9">
      <c r="A9" s="22" t="n">
        <v>5</v>
      </c>
      <c r="B9" s="15">
        <f>IF(A9&lt;Допущения!$B$16,0,MIN(Допущения!$B$19,ROUND(Допущения!$B$17*(1+Допущения!$B$18)^(A9-Допущения!$B$16),0)))</f>
        <v/>
      </c>
      <c r="C9" s="15">
        <f>ROUND(D8*Допущения!$B$14,0)</f>
        <v/>
      </c>
      <c r="D9" s="15">
        <f>D8+B9-C9</f>
        <v/>
      </c>
      <c r="E9" s="15">
        <f>D9*Допущения!$B$11</f>
        <v/>
      </c>
      <c r="F9" s="15">
        <f>D9*Допущения!$B$10</f>
        <v/>
      </c>
      <c r="G9" s="15">
        <f>(D9+E9)*Допущения!$B$21</f>
        <v/>
      </c>
      <c r="H9" s="5">
        <f>Расходы!$C$24</f>
        <v/>
      </c>
      <c r="I9" s="15">
        <f>F9*(Допущения!$B$12+Допущения!$B$13)</f>
        <v/>
      </c>
      <c r="J9" s="15">
        <f>F9-G9-H9-I9</f>
        <v/>
      </c>
      <c r="K9" s="15">
        <f>K8+J9</f>
        <v/>
      </c>
      <c r="L9" s="22">
        <f>IF(K9&gt;=0,A9,"")</f>
        <v/>
      </c>
      <c r="M9" s="22">
        <f>IF(J9&gt;0,A9,"")</f>
        <v/>
      </c>
    </row>
    <row r="10">
      <c r="A10" s="22" t="n">
        <v>6</v>
      </c>
      <c r="B10" s="15">
        <f>IF(A10&lt;Допущения!$B$16,0,MIN(Допущения!$B$19,ROUND(Допущения!$B$17*(1+Допущения!$B$18)^(A10-Допущения!$B$16),0)))</f>
        <v/>
      </c>
      <c r="C10" s="15">
        <f>ROUND(D9*Допущения!$B$14,0)</f>
        <v/>
      </c>
      <c r="D10" s="15">
        <f>D9+B10-C10</f>
        <v/>
      </c>
      <c r="E10" s="15">
        <f>D10*Допущения!$B$11</f>
        <v/>
      </c>
      <c r="F10" s="15">
        <f>D10*Допущения!$B$10</f>
        <v/>
      </c>
      <c r="G10" s="15">
        <f>(D10+E10)*Допущения!$B$21</f>
        <v/>
      </c>
      <c r="H10" s="5">
        <f>Расходы!$C$24</f>
        <v/>
      </c>
      <c r="I10" s="15">
        <f>F10*(Допущения!$B$12+Допущения!$B$13)</f>
        <v/>
      </c>
      <c r="J10" s="15">
        <f>F10-G10-H10-I10</f>
        <v/>
      </c>
      <c r="K10" s="15">
        <f>K9+J10</f>
        <v/>
      </c>
      <c r="L10" s="22">
        <f>IF(K10&gt;=0,A10,"")</f>
        <v/>
      </c>
      <c r="M10" s="22">
        <f>IF(J10&gt;0,A10,"")</f>
        <v/>
      </c>
    </row>
    <row r="11">
      <c r="A11" s="22" t="n">
        <v>7</v>
      </c>
      <c r="B11" s="15">
        <f>IF(A11&lt;Допущения!$B$16,0,MIN(Допущения!$B$19,ROUND(Допущения!$B$17*(1+Допущения!$B$18)^(A11-Допущения!$B$16),0)))</f>
        <v/>
      </c>
      <c r="C11" s="15">
        <f>ROUND(D10*Допущения!$B$14,0)</f>
        <v/>
      </c>
      <c r="D11" s="15">
        <f>D10+B11-C11</f>
        <v/>
      </c>
      <c r="E11" s="15">
        <f>D11*Допущения!$B$11</f>
        <v/>
      </c>
      <c r="F11" s="15">
        <f>D11*Допущения!$B$10</f>
        <v/>
      </c>
      <c r="G11" s="15">
        <f>(D11+E11)*Допущения!$B$21</f>
        <v/>
      </c>
      <c r="H11" s="5">
        <f>Расходы!$C$24</f>
        <v/>
      </c>
      <c r="I11" s="15">
        <f>F11*(Допущения!$B$12+Допущения!$B$13)</f>
        <v/>
      </c>
      <c r="J11" s="15">
        <f>F11-G11-H11-I11</f>
        <v/>
      </c>
      <c r="K11" s="15">
        <f>K10+J11</f>
        <v/>
      </c>
      <c r="L11" s="22">
        <f>IF(K11&gt;=0,A11,"")</f>
        <v/>
      </c>
      <c r="M11" s="22">
        <f>IF(J11&gt;0,A11,"")</f>
        <v/>
      </c>
    </row>
    <row r="12">
      <c r="A12" s="22" t="n">
        <v>8</v>
      </c>
      <c r="B12" s="15">
        <f>IF(A12&lt;Допущения!$B$16,0,MIN(Допущения!$B$19,ROUND(Допущения!$B$17*(1+Допущения!$B$18)^(A12-Допущения!$B$16),0)))</f>
        <v/>
      </c>
      <c r="C12" s="15">
        <f>ROUND(D11*Допущения!$B$14,0)</f>
        <v/>
      </c>
      <c r="D12" s="15">
        <f>D11+B12-C12</f>
        <v/>
      </c>
      <c r="E12" s="15">
        <f>D12*Допущения!$B$11</f>
        <v/>
      </c>
      <c r="F12" s="15">
        <f>D12*Допущения!$B$10</f>
        <v/>
      </c>
      <c r="G12" s="15">
        <f>(D12+E12)*Допущения!$B$21</f>
        <v/>
      </c>
      <c r="H12" s="5">
        <f>Расходы!$C$24</f>
        <v/>
      </c>
      <c r="I12" s="15">
        <f>F12*(Допущения!$B$12+Допущения!$B$13)</f>
        <v/>
      </c>
      <c r="J12" s="15">
        <f>F12-G12-H12-I12</f>
        <v/>
      </c>
      <c r="K12" s="15">
        <f>K11+J12</f>
        <v/>
      </c>
      <c r="L12" s="22">
        <f>IF(K12&gt;=0,A12,"")</f>
        <v/>
      </c>
      <c r="M12" s="22">
        <f>IF(J12&gt;0,A12,"")</f>
        <v/>
      </c>
    </row>
    <row r="13">
      <c r="A13" s="22" t="n">
        <v>9</v>
      </c>
      <c r="B13" s="15">
        <f>IF(A13&lt;Допущения!$B$16,0,MIN(Допущения!$B$19,ROUND(Допущения!$B$17*(1+Допущения!$B$18)^(A13-Допущения!$B$16),0)))</f>
        <v/>
      </c>
      <c r="C13" s="15">
        <f>ROUND(D12*Допущения!$B$14,0)</f>
        <v/>
      </c>
      <c r="D13" s="15">
        <f>D12+B13-C13</f>
        <v/>
      </c>
      <c r="E13" s="15">
        <f>D13*Допущения!$B$11</f>
        <v/>
      </c>
      <c r="F13" s="15">
        <f>D13*Допущения!$B$10</f>
        <v/>
      </c>
      <c r="G13" s="15">
        <f>(D13+E13)*Допущения!$B$21</f>
        <v/>
      </c>
      <c r="H13" s="5">
        <f>Расходы!$C$24</f>
        <v/>
      </c>
      <c r="I13" s="15">
        <f>F13*(Допущения!$B$12+Допущения!$B$13)</f>
        <v/>
      </c>
      <c r="J13" s="15">
        <f>F13-G13-H13-I13</f>
        <v/>
      </c>
      <c r="K13" s="15">
        <f>K12+J13</f>
        <v/>
      </c>
      <c r="L13" s="22">
        <f>IF(K13&gt;=0,A13,"")</f>
        <v/>
      </c>
      <c r="M13" s="22">
        <f>IF(J13&gt;0,A13,"")</f>
        <v/>
      </c>
    </row>
    <row r="14">
      <c r="A14" s="22" t="n">
        <v>10</v>
      </c>
      <c r="B14" s="15">
        <f>IF(A14&lt;Допущения!$B$16,0,MIN(Допущения!$B$19,ROUND(Допущения!$B$17*(1+Допущения!$B$18)^(A14-Допущения!$B$16),0)))</f>
        <v/>
      </c>
      <c r="C14" s="15">
        <f>ROUND(D13*Допущения!$B$14,0)</f>
        <v/>
      </c>
      <c r="D14" s="15">
        <f>D13+B14-C14</f>
        <v/>
      </c>
      <c r="E14" s="15">
        <f>D14*Допущения!$B$11</f>
        <v/>
      </c>
      <c r="F14" s="15">
        <f>D14*Допущения!$B$10</f>
        <v/>
      </c>
      <c r="G14" s="15">
        <f>(D14+E14)*Допущения!$B$21</f>
        <v/>
      </c>
      <c r="H14" s="5">
        <f>Расходы!$C$24</f>
        <v/>
      </c>
      <c r="I14" s="15">
        <f>F14*(Допущения!$B$12+Допущения!$B$13)</f>
        <v/>
      </c>
      <c r="J14" s="15">
        <f>F14-G14-H14-I14</f>
        <v/>
      </c>
      <c r="K14" s="15">
        <f>K13+J14</f>
        <v/>
      </c>
      <c r="L14" s="22">
        <f>IF(K14&gt;=0,A14,"")</f>
        <v/>
      </c>
      <c r="M14" s="22">
        <f>IF(J14&gt;0,A14,"")</f>
        <v/>
      </c>
    </row>
    <row r="15">
      <c r="A15" s="22" t="n">
        <v>11</v>
      </c>
      <c r="B15" s="15">
        <f>IF(A15&lt;Допущения!$B$16,0,MIN(Допущения!$B$19,ROUND(Допущения!$B$17*(1+Допущения!$B$18)^(A15-Допущения!$B$16),0)))</f>
        <v/>
      </c>
      <c r="C15" s="15">
        <f>ROUND(D14*Допущения!$B$14,0)</f>
        <v/>
      </c>
      <c r="D15" s="15">
        <f>D14+B15-C15</f>
        <v/>
      </c>
      <c r="E15" s="15">
        <f>D15*Допущения!$B$11</f>
        <v/>
      </c>
      <c r="F15" s="15">
        <f>D15*Допущения!$B$10</f>
        <v/>
      </c>
      <c r="G15" s="15">
        <f>(D15+E15)*Допущения!$B$21</f>
        <v/>
      </c>
      <c r="H15" s="5">
        <f>Расходы!$C$24</f>
        <v/>
      </c>
      <c r="I15" s="15">
        <f>F15*(Допущения!$B$12+Допущения!$B$13)</f>
        <v/>
      </c>
      <c r="J15" s="15">
        <f>F15-G15-H15-I15</f>
        <v/>
      </c>
      <c r="K15" s="15">
        <f>K14+J15</f>
        <v/>
      </c>
      <c r="L15" s="22">
        <f>IF(K15&gt;=0,A15,"")</f>
        <v/>
      </c>
      <c r="M15" s="22">
        <f>IF(J15&gt;0,A15,"")</f>
        <v/>
      </c>
    </row>
    <row r="16">
      <c r="A16" s="22" t="n">
        <v>12</v>
      </c>
      <c r="B16" s="15">
        <f>IF(A16&lt;Допущения!$B$16,0,MIN(Допущения!$B$19,ROUND(Допущения!$B$17*(1+Допущения!$B$18)^(A16-Допущения!$B$16),0)))</f>
        <v/>
      </c>
      <c r="C16" s="15">
        <f>ROUND(D15*Допущения!$B$14,0)</f>
        <v/>
      </c>
      <c r="D16" s="15">
        <f>D15+B16-C16</f>
        <v/>
      </c>
      <c r="E16" s="15">
        <f>D16*Допущения!$B$11</f>
        <v/>
      </c>
      <c r="F16" s="15">
        <f>D16*Допущения!$B$10</f>
        <v/>
      </c>
      <c r="G16" s="15">
        <f>(D16+E16)*Допущения!$B$21</f>
        <v/>
      </c>
      <c r="H16" s="5">
        <f>Расходы!$C$24</f>
        <v/>
      </c>
      <c r="I16" s="15">
        <f>F16*(Допущения!$B$12+Допущения!$B$13)</f>
        <v/>
      </c>
      <c r="J16" s="15">
        <f>F16-G16-H16-I16</f>
        <v/>
      </c>
      <c r="K16" s="15">
        <f>K15+J16</f>
        <v/>
      </c>
      <c r="L16" s="22">
        <f>IF(K16&gt;=0,A16,"")</f>
        <v/>
      </c>
      <c r="M16" s="22">
        <f>IF(J16&gt;0,A16,"")</f>
        <v/>
      </c>
    </row>
    <row r="17">
      <c r="A17" s="22" t="n">
        <v>13</v>
      </c>
      <c r="B17" s="15">
        <f>IF(A17&lt;Допущения!$B$16,0,MIN(Допущения!$B$19,ROUND(Допущения!$B$17*(1+Допущения!$B$18)^(A17-Допущения!$B$16),0)))</f>
        <v/>
      </c>
      <c r="C17" s="15">
        <f>ROUND(D16*Допущения!$B$14,0)</f>
        <v/>
      </c>
      <c r="D17" s="15">
        <f>D16+B17-C17</f>
        <v/>
      </c>
      <c r="E17" s="15">
        <f>D17*Допущения!$B$11</f>
        <v/>
      </c>
      <c r="F17" s="15">
        <f>D17*Допущения!$B$10</f>
        <v/>
      </c>
      <c r="G17" s="15">
        <f>(D17+E17)*Допущения!$B$21</f>
        <v/>
      </c>
      <c r="H17" s="5">
        <f>Расходы!$C$24</f>
        <v/>
      </c>
      <c r="I17" s="15">
        <f>F17*(Допущения!$B$12+Допущения!$B$13)</f>
        <v/>
      </c>
      <c r="J17" s="15">
        <f>F17-G17-H17-I17</f>
        <v/>
      </c>
      <c r="K17" s="15">
        <f>K16+J17</f>
        <v/>
      </c>
      <c r="L17" s="22">
        <f>IF(K17&gt;=0,A17,"")</f>
        <v/>
      </c>
      <c r="M17" s="22">
        <f>IF(J17&gt;0,A17,"")</f>
        <v/>
      </c>
    </row>
    <row r="18">
      <c r="A18" s="22" t="n">
        <v>14</v>
      </c>
      <c r="B18" s="15">
        <f>IF(A18&lt;Допущения!$B$16,0,MIN(Допущения!$B$19,ROUND(Допущения!$B$17*(1+Допущения!$B$18)^(A18-Допущения!$B$16),0)))</f>
        <v/>
      </c>
      <c r="C18" s="15">
        <f>ROUND(D17*Допущения!$B$14,0)</f>
        <v/>
      </c>
      <c r="D18" s="15">
        <f>D17+B18-C18</f>
        <v/>
      </c>
      <c r="E18" s="15">
        <f>D18*Допущения!$B$11</f>
        <v/>
      </c>
      <c r="F18" s="15">
        <f>D18*Допущения!$B$10</f>
        <v/>
      </c>
      <c r="G18" s="15">
        <f>(D18+E18)*Допущения!$B$21</f>
        <v/>
      </c>
      <c r="H18" s="5">
        <f>Расходы!$C$24</f>
        <v/>
      </c>
      <c r="I18" s="15">
        <f>F18*(Допущения!$B$12+Допущения!$B$13)</f>
        <v/>
      </c>
      <c r="J18" s="15">
        <f>F18-G18-H18-I18</f>
        <v/>
      </c>
      <c r="K18" s="15">
        <f>K17+J18</f>
        <v/>
      </c>
      <c r="L18" s="22">
        <f>IF(K18&gt;=0,A18,"")</f>
        <v/>
      </c>
      <c r="M18" s="22">
        <f>IF(J18&gt;0,A18,"")</f>
        <v/>
      </c>
    </row>
    <row r="19">
      <c r="A19" s="22" t="n">
        <v>15</v>
      </c>
      <c r="B19" s="15">
        <f>IF(A19&lt;Допущения!$B$16,0,MIN(Допущения!$B$19,ROUND(Допущения!$B$17*(1+Допущения!$B$18)^(A19-Допущения!$B$16),0)))</f>
        <v/>
      </c>
      <c r="C19" s="15">
        <f>ROUND(D18*Допущения!$B$14,0)</f>
        <v/>
      </c>
      <c r="D19" s="15">
        <f>D18+B19-C19</f>
        <v/>
      </c>
      <c r="E19" s="15">
        <f>D19*Допущения!$B$11</f>
        <v/>
      </c>
      <c r="F19" s="15">
        <f>D19*Допущения!$B$10</f>
        <v/>
      </c>
      <c r="G19" s="15">
        <f>(D19+E19)*Допущения!$B$21</f>
        <v/>
      </c>
      <c r="H19" s="5">
        <f>Расходы!$C$24</f>
        <v/>
      </c>
      <c r="I19" s="15">
        <f>F19*(Допущения!$B$12+Допущения!$B$13)</f>
        <v/>
      </c>
      <c r="J19" s="15">
        <f>F19-G19-H19-I19</f>
        <v/>
      </c>
      <c r="K19" s="15">
        <f>K18+J19</f>
        <v/>
      </c>
      <c r="L19" s="22">
        <f>IF(K19&gt;=0,A19,"")</f>
        <v/>
      </c>
      <c r="M19" s="22">
        <f>IF(J19&gt;0,A19,"")</f>
        <v/>
      </c>
    </row>
    <row r="20">
      <c r="A20" s="22" t="n">
        <v>16</v>
      </c>
      <c r="B20" s="15">
        <f>IF(A20&lt;Допущения!$B$16,0,MIN(Допущения!$B$19,ROUND(Допущения!$B$17*(1+Допущения!$B$18)^(A20-Допущения!$B$16),0)))</f>
        <v/>
      </c>
      <c r="C20" s="15">
        <f>ROUND(D19*Допущения!$B$14,0)</f>
        <v/>
      </c>
      <c r="D20" s="15">
        <f>D19+B20-C20</f>
        <v/>
      </c>
      <c r="E20" s="15">
        <f>D20*Допущения!$B$11</f>
        <v/>
      </c>
      <c r="F20" s="15">
        <f>D20*Допущения!$B$10</f>
        <v/>
      </c>
      <c r="G20" s="15">
        <f>(D20+E20)*Допущения!$B$21</f>
        <v/>
      </c>
      <c r="H20" s="5">
        <f>Расходы!$C$24</f>
        <v/>
      </c>
      <c r="I20" s="15">
        <f>F20*(Допущения!$B$12+Допущения!$B$13)</f>
        <v/>
      </c>
      <c r="J20" s="15">
        <f>F20-G20-H20-I20</f>
        <v/>
      </c>
      <c r="K20" s="15">
        <f>K19+J20</f>
        <v/>
      </c>
      <c r="L20" s="22">
        <f>IF(K20&gt;=0,A20,"")</f>
        <v/>
      </c>
      <c r="M20" s="22">
        <f>IF(J20&gt;0,A20,"")</f>
        <v/>
      </c>
    </row>
    <row r="21">
      <c r="A21" s="22" t="n">
        <v>17</v>
      </c>
      <c r="B21" s="15">
        <f>IF(A21&lt;Допущения!$B$16,0,MIN(Допущения!$B$19,ROUND(Допущения!$B$17*(1+Допущения!$B$18)^(A21-Допущения!$B$16),0)))</f>
        <v/>
      </c>
      <c r="C21" s="15">
        <f>ROUND(D20*Допущения!$B$14,0)</f>
        <v/>
      </c>
      <c r="D21" s="15">
        <f>D20+B21-C21</f>
        <v/>
      </c>
      <c r="E21" s="15">
        <f>D21*Допущения!$B$11</f>
        <v/>
      </c>
      <c r="F21" s="15">
        <f>D21*Допущения!$B$10</f>
        <v/>
      </c>
      <c r="G21" s="15">
        <f>(D21+E21)*Допущения!$B$21</f>
        <v/>
      </c>
      <c r="H21" s="5">
        <f>Расходы!$C$24</f>
        <v/>
      </c>
      <c r="I21" s="15">
        <f>F21*(Допущения!$B$12+Допущения!$B$13)</f>
        <v/>
      </c>
      <c r="J21" s="15">
        <f>F21-G21-H21-I21</f>
        <v/>
      </c>
      <c r="K21" s="15">
        <f>K20+J21</f>
        <v/>
      </c>
      <c r="L21" s="22">
        <f>IF(K21&gt;=0,A21,"")</f>
        <v/>
      </c>
      <c r="M21" s="22">
        <f>IF(J21&gt;0,A21,"")</f>
        <v/>
      </c>
    </row>
    <row r="22">
      <c r="A22" s="22" t="n">
        <v>18</v>
      </c>
      <c r="B22" s="15">
        <f>IF(A22&lt;Допущения!$B$16,0,MIN(Допущения!$B$19,ROUND(Допущения!$B$17*(1+Допущения!$B$18)^(A22-Допущения!$B$16),0)))</f>
        <v/>
      </c>
      <c r="C22" s="15">
        <f>ROUND(D21*Допущения!$B$14,0)</f>
        <v/>
      </c>
      <c r="D22" s="15">
        <f>D21+B22-C22</f>
        <v/>
      </c>
      <c r="E22" s="15">
        <f>D22*Допущения!$B$11</f>
        <v/>
      </c>
      <c r="F22" s="15">
        <f>D22*Допущения!$B$10</f>
        <v/>
      </c>
      <c r="G22" s="15">
        <f>(D22+E22)*Допущения!$B$21</f>
        <v/>
      </c>
      <c r="H22" s="5">
        <f>Расходы!$C$24</f>
        <v/>
      </c>
      <c r="I22" s="15">
        <f>F22*(Допущения!$B$12+Допущения!$B$13)</f>
        <v/>
      </c>
      <c r="J22" s="15">
        <f>F22-G22-H22-I22</f>
        <v/>
      </c>
      <c r="K22" s="15">
        <f>K21+J22</f>
        <v/>
      </c>
      <c r="L22" s="22">
        <f>IF(K22&gt;=0,A22,"")</f>
        <v/>
      </c>
      <c r="M22" s="22">
        <f>IF(J22&gt;0,A22,"")</f>
        <v/>
      </c>
    </row>
    <row r="23">
      <c r="A23" s="22" t="n">
        <v>19</v>
      </c>
      <c r="B23" s="15">
        <f>IF(A23&lt;Допущения!$B$16,0,MIN(Допущения!$B$19,ROUND(Допущения!$B$17*(1+Допущения!$B$18)^(A23-Допущения!$B$16),0)))</f>
        <v/>
      </c>
      <c r="C23" s="15">
        <f>ROUND(D22*Допущения!$B$14,0)</f>
        <v/>
      </c>
      <c r="D23" s="15">
        <f>D22+B23-C23</f>
        <v/>
      </c>
      <c r="E23" s="15">
        <f>D23*Допущения!$B$11</f>
        <v/>
      </c>
      <c r="F23" s="15">
        <f>D23*Допущения!$B$10</f>
        <v/>
      </c>
      <c r="G23" s="15">
        <f>(D23+E23)*Допущения!$B$21</f>
        <v/>
      </c>
      <c r="H23" s="5">
        <f>Расходы!$C$24</f>
        <v/>
      </c>
      <c r="I23" s="15">
        <f>F23*(Допущения!$B$12+Допущения!$B$13)</f>
        <v/>
      </c>
      <c r="J23" s="15">
        <f>F23-G23-H23-I23</f>
        <v/>
      </c>
      <c r="K23" s="15">
        <f>K22+J23</f>
        <v/>
      </c>
      <c r="L23" s="22">
        <f>IF(K23&gt;=0,A23,"")</f>
        <v/>
      </c>
      <c r="M23" s="22">
        <f>IF(J23&gt;0,A23,"")</f>
        <v/>
      </c>
    </row>
    <row r="24">
      <c r="A24" s="22" t="n">
        <v>20</v>
      </c>
      <c r="B24" s="15">
        <f>IF(A24&lt;Допущения!$B$16,0,MIN(Допущения!$B$19,ROUND(Допущения!$B$17*(1+Допущения!$B$18)^(A24-Допущения!$B$16),0)))</f>
        <v/>
      </c>
      <c r="C24" s="15">
        <f>ROUND(D23*Допущения!$B$14,0)</f>
        <v/>
      </c>
      <c r="D24" s="15">
        <f>D23+B24-C24</f>
        <v/>
      </c>
      <c r="E24" s="15">
        <f>D24*Допущения!$B$11</f>
        <v/>
      </c>
      <c r="F24" s="15">
        <f>D24*Допущения!$B$10</f>
        <v/>
      </c>
      <c r="G24" s="15">
        <f>(D24+E24)*Допущения!$B$21</f>
        <v/>
      </c>
      <c r="H24" s="5">
        <f>Расходы!$C$24</f>
        <v/>
      </c>
      <c r="I24" s="15">
        <f>F24*(Допущения!$B$12+Допущения!$B$13)</f>
        <v/>
      </c>
      <c r="J24" s="15">
        <f>F24-G24-H24-I24</f>
        <v/>
      </c>
      <c r="K24" s="15">
        <f>K23+J24</f>
        <v/>
      </c>
      <c r="L24" s="22">
        <f>IF(K24&gt;=0,A24,"")</f>
        <v/>
      </c>
      <c r="M24" s="22">
        <f>IF(J24&gt;0,A24,"")</f>
        <v/>
      </c>
    </row>
    <row r="25">
      <c r="A25" s="22" t="n">
        <v>21</v>
      </c>
      <c r="B25" s="15">
        <f>IF(A25&lt;Допущения!$B$16,0,MIN(Допущения!$B$19,ROUND(Допущения!$B$17*(1+Допущения!$B$18)^(A25-Допущения!$B$16),0)))</f>
        <v/>
      </c>
      <c r="C25" s="15">
        <f>ROUND(D24*Допущения!$B$14,0)</f>
        <v/>
      </c>
      <c r="D25" s="15">
        <f>D24+B25-C25</f>
        <v/>
      </c>
      <c r="E25" s="15">
        <f>D25*Допущения!$B$11</f>
        <v/>
      </c>
      <c r="F25" s="15">
        <f>D25*Допущения!$B$10</f>
        <v/>
      </c>
      <c r="G25" s="15">
        <f>(D25+E25)*Допущения!$B$21</f>
        <v/>
      </c>
      <c r="H25" s="5">
        <f>Расходы!$C$24</f>
        <v/>
      </c>
      <c r="I25" s="15">
        <f>F25*(Допущения!$B$12+Допущения!$B$13)</f>
        <v/>
      </c>
      <c r="J25" s="15">
        <f>F25-G25-H25-I25</f>
        <v/>
      </c>
      <c r="K25" s="15">
        <f>K24+J25</f>
        <v/>
      </c>
      <c r="L25" s="22">
        <f>IF(K25&gt;=0,A25,"")</f>
        <v/>
      </c>
      <c r="M25" s="22">
        <f>IF(J25&gt;0,A25,"")</f>
        <v/>
      </c>
    </row>
    <row r="26">
      <c r="A26" s="22" t="n">
        <v>22</v>
      </c>
      <c r="B26" s="15">
        <f>IF(A26&lt;Допущения!$B$16,0,MIN(Допущения!$B$19,ROUND(Допущения!$B$17*(1+Допущения!$B$18)^(A26-Допущения!$B$16),0)))</f>
        <v/>
      </c>
      <c r="C26" s="15">
        <f>ROUND(D25*Допущения!$B$14,0)</f>
        <v/>
      </c>
      <c r="D26" s="15">
        <f>D25+B26-C26</f>
        <v/>
      </c>
      <c r="E26" s="15">
        <f>D26*Допущения!$B$11</f>
        <v/>
      </c>
      <c r="F26" s="15">
        <f>D26*Допущения!$B$10</f>
        <v/>
      </c>
      <c r="G26" s="15">
        <f>(D26+E26)*Допущения!$B$21</f>
        <v/>
      </c>
      <c r="H26" s="5">
        <f>Расходы!$C$24</f>
        <v/>
      </c>
      <c r="I26" s="15">
        <f>F26*(Допущения!$B$12+Допущения!$B$13)</f>
        <v/>
      </c>
      <c r="J26" s="15">
        <f>F26-G26-H26-I26</f>
        <v/>
      </c>
      <c r="K26" s="15">
        <f>K25+J26</f>
        <v/>
      </c>
      <c r="L26" s="22">
        <f>IF(K26&gt;=0,A26,"")</f>
        <v/>
      </c>
      <c r="M26" s="22">
        <f>IF(J26&gt;0,A26,"")</f>
        <v/>
      </c>
    </row>
    <row r="27">
      <c r="A27" s="22" t="n">
        <v>23</v>
      </c>
      <c r="B27" s="15">
        <f>IF(A27&lt;Допущения!$B$16,0,MIN(Допущения!$B$19,ROUND(Допущения!$B$17*(1+Допущения!$B$18)^(A27-Допущения!$B$16),0)))</f>
        <v/>
      </c>
      <c r="C27" s="15">
        <f>ROUND(D26*Допущения!$B$14,0)</f>
        <v/>
      </c>
      <c r="D27" s="15">
        <f>D26+B27-C27</f>
        <v/>
      </c>
      <c r="E27" s="15">
        <f>D27*Допущения!$B$11</f>
        <v/>
      </c>
      <c r="F27" s="15">
        <f>D27*Допущения!$B$10</f>
        <v/>
      </c>
      <c r="G27" s="15">
        <f>(D27+E27)*Допущения!$B$21</f>
        <v/>
      </c>
      <c r="H27" s="5">
        <f>Расходы!$C$24</f>
        <v/>
      </c>
      <c r="I27" s="15">
        <f>F27*(Допущения!$B$12+Допущения!$B$13)</f>
        <v/>
      </c>
      <c r="J27" s="15">
        <f>F27-G27-H27-I27</f>
        <v/>
      </c>
      <c r="K27" s="15">
        <f>K26+J27</f>
        <v/>
      </c>
      <c r="L27" s="22">
        <f>IF(K27&gt;=0,A27,"")</f>
        <v/>
      </c>
      <c r="M27" s="22">
        <f>IF(J27&gt;0,A27,"")</f>
        <v/>
      </c>
    </row>
    <row r="28">
      <c r="A28" s="22" t="n">
        <v>24</v>
      </c>
      <c r="B28" s="15">
        <f>IF(A28&lt;Допущения!$B$16,0,MIN(Допущения!$B$19,ROUND(Допущения!$B$17*(1+Допущения!$B$18)^(A28-Допущения!$B$16),0)))</f>
        <v/>
      </c>
      <c r="C28" s="15">
        <f>ROUND(D27*Допущения!$B$14,0)</f>
        <v/>
      </c>
      <c r="D28" s="15">
        <f>D27+B28-C28</f>
        <v/>
      </c>
      <c r="E28" s="15">
        <f>D28*Допущения!$B$11</f>
        <v/>
      </c>
      <c r="F28" s="15">
        <f>D28*Допущения!$B$10</f>
        <v/>
      </c>
      <c r="G28" s="15">
        <f>(D28+E28)*Допущения!$B$21</f>
        <v/>
      </c>
      <c r="H28" s="5">
        <f>Расходы!$C$24</f>
        <v/>
      </c>
      <c r="I28" s="15">
        <f>F28*(Допущения!$B$12+Допущения!$B$13)</f>
        <v/>
      </c>
      <c r="J28" s="15">
        <f>F28-G28-H28-I28</f>
        <v/>
      </c>
      <c r="K28" s="15">
        <f>K27+J28</f>
        <v/>
      </c>
      <c r="L28" s="22">
        <f>IF(K28&gt;=0,A28,"")</f>
        <v/>
      </c>
      <c r="M28" s="22">
        <f>IF(J28&gt;0,A28,"")</f>
        <v/>
      </c>
    </row>
    <row r="30">
      <c r="A30" s="8" t="inlineStr">
        <is>
          <t>Итого за 24 месяца</t>
        </is>
      </c>
      <c r="F30" s="23">
        <f>SUM(F5:F28)</f>
        <v/>
      </c>
      <c r="G30" s="23">
        <f>SUM(G5:G28)</f>
        <v/>
      </c>
      <c r="H30" s="23">
        <f>SUM(H5:H28)</f>
        <v/>
      </c>
      <c r="I30" s="23">
        <f>SUM(I5:I28)</f>
        <v/>
      </c>
      <c r="J30" s="23">
        <f>SUM(J5:J28)</f>
        <v/>
      </c>
    </row>
    <row r="31">
      <c r="A31" s="2" t="inlineStr">
        <is>
          <t>Разовые расходы на запуск (учтены в накопленном итоге с 1-го месяца)</t>
        </is>
      </c>
      <c r="J31" s="5">
        <f>Расходы!C11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  <col width="30" customWidth="1" min="4" max="4"/>
    <col width="30" customWidth="1" min="5" max="5"/>
  </cols>
  <sheetData>
    <row r="1">
      <c r="A1" s="1" t="inlineStr">
        <is>
          <t>Точка безубыточности: сколько платных клиентов покрывают постоянные расходы</t>
        </is>
      </c>
    </row>
    <row r="2" ht="40" customHeight="1">
      <c r="A2" s="9" t="inlineStr">
        <is>
          <t>Маржа с одного платного клиента = цена × (1 − эквайринг − налог) − переменные расходы на него и на его бесплатных пользователей. Клиентов = постоянные расходы ÷ маржа.</t>
        </is>
      </c>
    </row>
    <row r="4" ht="44" customHeight="1">
      <c r="A4" s="3" t="inlineStr">
        <is>
          <t>Тариф / смесь</t>
        </is>
      </c>
      <c r="B4" s="4" t="inlineStr">
        <is>
          <t>Цена, ₽/мес</t>
        </is>
      </c>
      <c r="C4" s="4" t="inlineStr">
        <is>
          <t>Маржа с клиента, ₽/мес</t>
        </is>
      </c>
      <c r="D4" s="4" t="inlineStr">
        <is>
          <t>Клиентов для безубыточности (мин.)</t>
        </is>
      </c>
      <c r="E4" s="4" t="inlineStr">
        <is>
          <t>Клиентов для безубыточности (реал.)</t>
        </is>
      </c>
    </row>
    <row r="5">
      <c r="A5" s="2" t="inlineStr">
        <is>
          <t>Только «Базовый»</t>
        </is>
      </c>
      <c r="B5" s="5">
        <f>Допущения!B6</f>
        <v/>
      </c>
      <c r="C5" s="15">
        <f>B5*(1-Допущения!$B$12-Допущения!$B$13)-Допущения!$B$21*(1+Допущения!$B$11)</f>
        <v/>
      </c>
      <c r="D5" s="15">
        <f>IF(C5&gt;0,ROUNDUP(Расходы!$B$24/C5,0),"не окупается")</f>
        <v/>
      </c>
      <c r="E5" s="15">
        <f>IF(C5&gt;0,ROUNDUP(Расходы!$C$24/C5,0),"не окупается")</f>
        <v/>
      </c>
    </row>
    <row r="6">
      <c r="A6" s="2" t="inlineStr">
        <is>
          <t>Только «Профессиональный»</t>
        </is>
      </c>
      <c r="B6" s="5">
        <f>Допущения!B7</f>
        <v/>
      </c>
      <c r="C6" s="15">
        <f>B6*(1-Допущения!$B$12-Допущения!$B$13)-Допущения!$B$21*(1+Допущения!$B$11)</f>
        <v/>
      </c>
      <c r="D6" s="15">
        <f>IF(C6&gt;0,ROUNDUP(Расходы!$B$24/C6,0),"не окупается")</f>
        <v/>
      </c>
      <c r="E6" s="15">
        <f>IF(C6&gt;0,ROUNDUP(Расходы!$C$24/C6,0),"не окупается")</f>
        <v/>
      </c>
    </row>
    <row r="7">
      <c r="A7" s="2" t="inlineStr">
        <is>
          <t>Смесь тарифов (по доле из допущений)</t>
        </is>
      </c>
      <c r="B7" s="5">
        <f>Допущения!B10</f>
        <v/>
      </c>
      <c r="C7" s="15">
        <f>B7*(1-Допущения!$B$12-Допущения!$B$13)-Допущения!$B$21*(1+Допущения!$B$11)</f>
        <v/>
      </c>
      <c r="D7" s="15">
        <f>IF(C7&gt;0,ROUNDUP(Расходы!$B$24/C7,0),"не окупается")</f>
        <v/>
      </c>
      <c r="E7" s="15">
        <f>IF(C7&gt;0,ROUNDUP(Расходы!$C$24/C7,0),"не окупается")</f>
        <v/>
      </c>
    </row>
    <row r="9">
      <c r="A9" s="8" t="inlineStr">
        <is>
          <t>Постоянные расходы в месяц, ₽</t>
        </is>
      </c>
      <c r="D9" s="5">
        <f>Расходы!B24</f>
        <v/>
      </c>
      <c r="E9" s="5">
        <f>Расходы!C24</f>
        <v/>
      </c>
    </row>
    <row r="10">
      <c r="A10" s="2" t="inlineStr">
        <is>
          <t>Для окупаемости разовых расходов нужна ещё накопленная прибыль: см. листы «Прогноз».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2026-09-30T15:33:50Z</dcterms:created>
  <dcterms:modified xmlns:dcterms="http://purl.org/dc/terms/" xmlns:xsi="http://www.w3.org/2001/XMLSchema-instance" xsi:type="dcterms:W3CDTF">2026-10-16T11:11:16Z</dcterms:modified>
</cp:coreProperties>
</file>